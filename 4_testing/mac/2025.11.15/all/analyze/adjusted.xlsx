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odo\working\projects\ai\4_testing\mac\2025.11.15\all\analyze\"/>
    </mc:Choice>
  </mc:AlternateContent>
  <bookViews>
    <workbookView xWindow="0" yWindow="0" windowWidth="19200" windowHeight="6930"/>
  </bookViews>
  <sheets>
    <sheet name="adjusted" sheetId="1" r:id="rId1"/>
  </sheets>
  <calcPr calcId="162913"/>
</workbook>
</file>

<file path=xl/calcChain.xml><?xml version="1.0" encoding="utf-8"?>
<calcChain xmlns="http://schemas.openxmlformats.org/spreadsheetml/2006/main">
  <c r="L27" i="1" l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K2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K14" i="1"/>
</calcChain>
</file>

<file path=xl/sharedStrings.xml><?xml version="1.0" encoding="utf-8"?>
<sst xmlns="http://schemas.openxmlformats.org/spreadsheetml/2006/main" count="148" uniqueCount="63">
  <si>
    <t>vec</t>
  </si>
  <si>
    <t xml:space="preserve"> depth</t>
  </si>
  <si>
    <t xml:space="preserve"> adjust</t>
  </si>
  <si>
    <t xml:space="preserve"> conv</t>
  </si>
  <si>
    <t xml:space="preserve"> model</t>
  </si>
  <si>
    <t xml:space="preserve"> learning rate</t>
  </si>
  <si>
    <t xml:space="preserve"> iterations</t>
  </si>
  <si>
    <t xml:space="preserve"> batches</t>
  </si>
  <si>
    <t xml:space="preserve"> classes</t>
  </si>
  <si>
    <t xml:space="preserve"> N</t>
  </si>
  <si>
    <t xml:space="preserve"> accuracy</t>
  </si>
  <si>
    <t xml:space="preserve"> precise.mean</t>
  </si>
  <si>
    <t xml:space="preserve"> precise.var</t>
  </si>
  <si>
    <t xml:space="preserve"> recall.mean</t>
  </si>
  <si>
    <t xml:space="preserve"> recall.var</t>
  </si>
  <si>
    <t xml:space="preserve"> f1.mean</t>
  </si>
  <si>
    <t xml:space="preserve"> f1.var</t>
  </si>
  <si>
    <t xml:space="preserve"> label coverage</t>
  </si>
  <si>
    <t xml:space="preserve"> precise$0$0</t>
  </si>
  <si>
    <t xml:space="preserve"> precise$0$1</t>
  </si>
  <si>
    <t xml:space="preserve"> precise$0$2</t>
  </si>
  <si>
    <t xml:space="preserve"> precise$0$3</t>
  </si>
  <si>
    <t xml:space="preserve"> precise$0$4</t>
  </si>
  <si>
    <t xml:space="preserve"> precise$0$5</t>
  </si>
  <si>
    <t xml:space="preserve"> precise$0$6</t>
  </si>
  <si>
    <t xml:space="preserve"> precise$0$7</t>
  </si>
  <si>
    <t xml:space="preserve"> precise$0$8</t>
  </si>
  <si>
    <t xml:space="preserve"> precise$0$9</t>
  </si>
  <si>
    <t xml:space="preserve"> recall$0$0</t>
  </si>
  <si>
    <t xml:space="preserve"> recall$0$1</t>
  </si>
  <si>
    <t xml:space="preserve"> recall$0$2</t>
  </si>
  <si>
    <t xml:space="preserve"> recall$0$3</t>
  </si>
  <si>
    <t xml:space="preserve"> recall$0$4</t>
  </si>
  <si>
    <t xml:space="preserve"> recall$0$5</t>
  </si>
  <si>
    <t xml:space="preserve"> recall$0$6</t>
  </si>
  <si>
    <t xml:space="preserve"> recall$0$7</t>
  </si>
  <si>
    <t xml:space="preserve"> recall$0$8</t>
  </si>
  <si>
    <t xml:space="preserve"> recall$0$9</t>
  </si>
  <si>
    <t xml:space="preserve"> f1$0$0</t>
  </si>
  <si>
    <t xml:space="preserve"> f1$0$1</t>
  </si>
  <si>
    <t xml:space="preserve"> f1$0$2</t>
  </si>
  <si>
    <t xml:space="preserve"> f1$0$3</t>
  </si>
  <si>
    <t xml:space="preserve"> f1$0$4</t>
  </si>
  <si>
    <t xml:space="preserve"> f1$0$5</t>
  </si>
  <si>
    <t xml:space="preserve"> f1$0$6</t>
  </si>
  <si>
    <t xml:space="preserve"> f1$0$7</t>
  </si>
  <si>
    <t xml:space="preserve"> f1$0$8</t>
  </si>
  <si>
    <t xml:space="preserve"> f1$0$9</t>
  </si>
  <si>
    <t xml:space="preserve"> time (s)</t>
  </si>
  <si>
    <t xml:space="preserve"> parametric size</t>
  </si>
  <si>
    <t xml:space="preserve"> note</t>
  </si>
  <si>
    <t xml:space="preserve"> false</t>
  </si>
  <si>
    <t xml:space="preserve"> mac</t>
  </si>
  <si>
    <t xml:space="preserve"> model=mac~dataset=cifar10~entropy=true~conv=false~vec=false~baseline=true~adjust=false~dual=false~tree=mac</t>
  </si>
  <si>
    <t xml:space="preserve"> tramac</t>
  </si>
  <si>
    <t xml:space="preserve"> model=tramac~dataset=cifar10~entropy=true~conv=false~vec=false~baseline=true~adjust=false~dual=false~tree=mac</t>
  </si>
  <si>
    <t xml:space="preserve"> true</t>
  </si>
  <si>
    <t xml:space="preserve"> model=mac~dataset=cifar10~entropy=true~conv=true~vec=false~baseline=true~adjust=false~dual=false~tree=mac</t>
  </si>
  <si>
    <t xml:space="preserve"> model=tramac~dataset=cifar10~entropy=true~conv=true~vec=false~baseline=true~adjust=false~dual=false~tree=mac</t>
  </si>
  <si>
    <t xml:space="preserve"> model=mac~dataset=cifar10~entropy=true~conv=false~vec=false~baseline=true~adjust=true~dual=false~tree=mac</t>
  </si>
  <si>
    <t xml:space="preserve"> model=tramac~dataset=cifar10~entropy=true~conv=false~vec=false~baseline=true~adjust=true~dual=false~tree=mac</t>
  </si>
  <si>
    <t xml:space="preserve"> model=mac~dataset=cifar10~entropy=true~conv=true~vec=false~baseline=true~adjust=true~dual=false~tree=mac</t>
  </si>
  <si>
    <t xml:space="preserve"> model=tramac~dataset=cifar10~entropy=true~conv=true~vec=false~baseline=true~adjust=true~dual=false~tree=mac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</si>
</sst>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164" fontId="18" fillId="0" borderId="0" xfId="0" applyNumberFormat="1" applyFont="1"/>
    <xf numFmtId="2" fontId="18" fillId="0" borderId="0" xfId="0" applyNumberFormat="1" applyFont="1"/>
    <xf numFmtId="0" fontId="19" fillId="33" borderId="0" xfId="0" applyFont="1" applyFill="1"/>
    <xf numFmtId="164" fontId="19" fillId="33" borderId="0" xfId="0" applyNumberFormat="1" applyFont="1" applyFill="1"/>
    <xf numFmtId="2" fontId="19" fillId="33" borderId="0" xfId="0" applyNumberFormat="1" applyFont="1" applyFill="1"/>
    <xf numFmtId="0" fontId="19" fillId="34" borderId="0" xfId="0" applyFont="1" applyFill="1"/>
    <xf numFmtId="164" fontId="19" fillId="34" borderId="0" xfId="0" applyNumberFormat="1" applyFont="1" applyFill="1"/>
    <xf numFmtId="2" fontId="19" fillId="34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7"/>
  <sheetViews>
    <sheetView tabSelected="1" workbookViewId="0">
      <pane ySplit="1" topLeftCell="A5" activePane="bottomLeft" state="frozen"/>
      <selection pane="bottomLeft" activeCell="K9" sqref="K9"/>
    </sheetView>
  </sheetViews>
  <sheetFormatPr defaultRowHeight="15.5" x14ac:dyDescent="0.35"/>
  <cols>
    <col min="1" max="2" width="8.81640625" style="1" bestFit="1" customWidth="1"/>
    <col min="3" max="5" width="8.7265625" style="1"/>
    <col min="6" max="10" width="8.81640625" style="1" bestFit="1" customWidth="1"/>
    <col min="11" max="48" width="8.90625" style="1" bestFit="1" customWidth="1"/>
    <col min="49" max="49" width="11.1796875" style="1" bestFit="1" customWidth="1"/>
    <col min="50" max="50" width="8.81640625" style="1" bestFit="1" customWidth="1"/>
    <col min="51" max="51" width="9" style="1" bestFit="1" customWidth="1"/>
    <col min="52" max="16384" width="8.7265625" style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</v>
      </c>
      <c r="AY1" s="1" t="s">
        <v>49</v>
      </c>
      <c r="AZ1" s="1" t="s">
        <v>50</v>
      </c>
    </row>
    <row r="2" spans="1:52" x14ac:dyDescent="0.35">
      <c r="A2" s="1" t="b">
        <v>0</v>
      </c>
      <c r="B2" s="1">
        <v>2</v>
      </c>
      <c r="C2" s="1" t="s">
        <v>51</v>
      </c>
      <c r="D2" s="1" t="s">
        <v>51</v>
      </c>
      <c r="E2" s="1" t="s">
        <v>52</v>
      </c>
      <c r="F2" s="1">
        <v>0.1</v>
      </c>
      <c r="G2" s="1">
        <v>1</v>
      </c>
      <c r="H2" s="1">
        <v>100</v>
      </c>
      <c r="I2" s="1">
        <v>10</v>
      </c>
      <c r="J2" s="1">
        <v>50000</v>
      </c>
      <c r="K2" s="2">
        <v>9.2700000000000005E-2</v>
      </c>
      <c r="L2" s="2">
        <v>9.8400000000000001E-2</v>
      </c>
      <c r="M2" s="2">
        <v>2.0000000000000001E-4</v>
      </c>
      <c r="N2" s="2">
        <v>0.82989999999999997</v>
      </c>
      <c r="O2" s="2">
        <v>3.9300000000000002E-2</v>
      </c>
      <c r="P2" s="2">
        <v>0.17230000000000001</v>
      </c>
      <c r="Q2" s="2">
        <v>4.0000000000000002E-4</v>
      </c>
      <c r="R2" s="2">
        <v>1</v>
      </c>
      <c r="S2" s="2">
        <v>0.1237</v>
      </c>
      <c r="T2" s="2">
        <v>0.1038</v>
      </c>
      <c r="U2" s="2">
        <v>0.1057</v>
      </c>
      <c r="V2" s="2">
        <v>0.1139</v>
      </c>
      <c r="W2" s="2">
        <v>0.1085</v>
      </c>
      <c r="X2" s="2">
        <v>8.5500000000000007E-2</v>
      </c>
      <c r="Y2" s="2">
        <v>6.9400000000000003E-2</v>
      </c>
      <c r="Z2" s="2">
        <v>0.1003</v>
      </c>
      <c r="AA2" s="2">
        <v>7.8700000000000006E-2</v>
      </c>
      <c r="AB2" s="2">
        <v>9.4200000000000006E-2</v>
      </c>
      <c r="AC2" s="2">
        <v>0.30880000000000002</v>
      </c>
      <c r="AD2" s="2">
        <v>0.85919999999999996</v>
      </c>
      <c r="AE2" s="2">
        <v>0.95379999999999998</v>
      </c>
      <c r="AF2" s="2">
        <v>0.77459999999999996</v>
      </c>
      <c r="AG2" s="2">
        <v>0.86480000000000001</v>
      </c>
      <c r="AH2" s="2">
        <v>1</v>
      </c>
      <c r="AI2" s="2">
        <v>1</v>
      </c>
      <c r="AJ2" s="2">
        <v>0.71179999999999999</v>
      </c>
      <c r="AK2" s="2">
        <v>0.82579999999999998</v>
      </c>
      <c r="AL2" s="2">
        <v>1</v>
      </c>
      <c r="AM2" s="2">
        <v>0.17660000000000001</v>
      </c>
      <c r="AN2" s="2">
        <v>0.18529999999999999</v>
      </c>
      <c r="AO2" s="2">
        <v>0.1903</v>
      </c>
      <c r="AP2" s="2">
        <v>0.19850000000000001</v>
      </c>
      <c r="AQ2" s="2">
        <v>0.1928</v>
      </c>
      <c r="AR2" s="2">
        <v>0.15759999999999999</v>
      </c>
      <c r="AS2" s="2">
        <v>0.1298</v>
      </c>
      <c r="AT2" s="2">
        <v>0.17580000000000001</v>
      </c>
      <c r="AU2" s="2">
        <v>0.14369999999999999</v>
      </c>
      <c r="AV2" s="2">
        <v>0.1721</v>
      </c>
      <c r="AW2" s="2">
        <v>8046.5060000000003</v>
      </c>
      <c r="AX2" s="3">
        <v>2</v>
      </c>
      <c r="AY2" s="3">
        <v>2410</v>
      </c>
      <c r="AZ2" s="1" t="s">
        <v>53</v>
      </c>
    </row>
    <row r="3" spans="1:52" x14ac:dyDescent="0.35">
      <c r="A3" s="1" t="b">
        <v>0</v>
      </c>
      <c r="B3" s="1">
        <v>2</v>
      </c>
      <c r="C3" s="1" t="s">
        <v>51</v>
      </c>
      <c r="D3" s="1" t="s">
        <v>51</v>
      </c>
      <c r="E3" s="1" t="s">
        <v>54</v>
      </c>
      <c r="F3" s="1">
        <v>0.1</v>
      </c>
      <c r="G3" s="1">
        <v>1</v>
      </c>
      <c r="H3" s="1">
        <v>100</v>
      </c>
      <c r="I3" s="1">
        <v>10</v>
      </c>
      <c r="J3" s="1">
        <v>50000</v>
      </c>
      <c r="K3" s="2">
        <v>7.7600000000000002E-2</v>
      </c>
      <c r="L3" s="2">
        <v>8.7999999999999995E-2</v>
      </c>
      <c r="M3" s="2">
        <v>6.9999999999999999E-4</v>
      </c>
      <c r="N3" s="2">
        <v>0.72330000000000005</v>
      </c>
      <c r="O3" s="2">
        <v>9.69E-2</v>
      </c>
      <c r="P3" s="2">
        <v>0.1472</v>
      </c>
      <c r="Q3" s="2">
        <v>2E-3</v>
      </c>
      <c r="R3" s="2">
        <v>1</v>
      </c>
      <c r="S3" s="2">
        <v>4.2799999999999998E-2</v>
      </c>
      <c r="T3" s="2">
        <v>0.1022</v>
      </c>
      <c r="U3" s="2">
        <v>9.8500000000000004E-2</v>
      </c>
      <c r="V3" s="2">
        <v>8.4500000000000006E-2</v>
      </c>
      <c r="W3" s="2">
        <v>0.1401</v>
      </c>
      <c r="X3" s="2">
        <v>7.5800000000000006E-2</v>
      </c>
      <c r="Y3" s="2">
        <v>5.3400000000000003E-2</v>
      </c>
      <c r="Z3" s="2">
        <v>8.1799999999999998E-2</v>
      </c>
      <c r="AA3" s="2">
        <v>0.1142</v>
      </c>
      <c r="AB3" s="2">
        <v>8.6400000000000005E-2</v>
      </c>
      <c r="AC3" s="2">
        <v>1</v>
      </c>
      <c r="AD3" s="2">
        <v>0.85719999999999996</v>
      </c>
      <c r="AE3" s="2">
        <v>0.91759999999999997</v>
      </c>
      <c r="AF3" s="2">
        <v>1</v>
      </c>
      <c r="AG3" s="2">
        <v>0.48820000000000002</v>
      </c>
      <c r="AH3" s="2">
        <v>1</v>
      </c>
      <c r="AI3" s="2">
        <v>0.83860000000000001</v>
      </c>
      <c r="AJ3" s="2">
        <v>0.25440000000000002</v>
      </c>
      <c r="AK3" s="2">
        <v>0.77939999999999998</v>
      </c>
      <c r="AL3" s="2">
        <v>9.7199999999999995E-2</v>
      </c>
      <c r="AM3" s="2">
        <v>8.2100000000000006E-2</v>
      </c>
      <c r="AN3" s="2">
        <v>0.18260000000000001</v>
      </c>
      <c r="AO3" s="2">
        <v>0.1779</v>
      </c>
      <c r="AP3" s="2">
        <v>0.15570000000000001</v>
      </c>
      <c r="AQ3" s="2">
        <v>0.2177</v>
      </c>
      <c r="AR3" s="2">
        <v>0.1409</v>
      </c>
      <c r="AS3" s="2">
        <v>0.1004</v>
      </c>
      <c r="AT3" s="2">
        <v>0.12379999999999999</v>
      </c>
      <c r="AU3" s="2">
        <v>0.19919999999999999</v>
      </c>
      <c r="AV3" s="2">
        <v>9.1499999999999998E-2</v>
      </c>
      <c r="AW3" s="2">
        <v>10494.272999999999</v>
      </c>
      <c r="AX3" s="3">
        <v>2</v>
      </c>
      <c r="AY3" s="3">
        <v>4458</v>
      </c>
      <c r="AZ3" s="1" t="s">
        <v>55</v>
      </c>
    </row>
    <row r="4" spans="1:52" x14ac:dyDescent="0.35">
      <c r="A4" s="1" t="b">
        <v>0</v>
      </c>
      <c r="B4" s="1">
        <v>2</v>
      </c>
      <c r="C4" s="1" t="s">
        <v>51</v>
      </c>
      <c r="D4" s="1" t="s">
        <v>56</v>
      </c>
      <c r="E4" s="1" t="s">
        <v>52</v>
      </c>
      <c r="F4" s="1">
        <v>0.1</v>
      </c>
      <c r="G4" s="1">
        <v>1</v>
      </c>
      <c r="H4" s="1">
        <v>100</v>
      </c>
      <c r="I4" s="1">
        <v>10</v>
      </c>
      <c r="J4" s="1">
        <v>50000</v>
      </c>
      <c r="K4" s="2">
        <v>9.4299999999999995E-2</v>
      </c>
      <c r="L4" s="2">
        <v>9.2999999999999999E-2</v>
      </c>
      <c r="M4" s="2">
        <v>2.0000000000000001E-4</v>
      </c>
      <c r="N4" s="2">
        <v>0.74019999999999997</v>
      </c>
      <c r="O4" s="2">
        <v>5.5800000000000002E-2</v>
      </c>
      <c r="P4" s="2">
        <v>0.1623</v>
      </c>
      <c r="Q4" s="2">
        <v>4.0000000000000002E-4</v>
      </c>
      <c r="R4" s="2">
        <v>1</v>
      </c>
      <c r="S4" s="2">
        <v>7.5600000000000001E-2</v>
      </c>
      <c r="T4" s="2">
        <v>0.1181</v>
      </c>
      <c r="U4" s="2">
        <v>9.74E-2</v>
      </c>
      <c r="V4" s="2">
        <v>8.7800000000000003E-2</v>
      </c>
      <c r="W4" s="2">
        <v>9.0800000000000006E-2</v>
      </c>
      <c r="X4" s="2">
        <v>7.9699999999999993E-2</v>
      </c>
      <c r="Y4" s="2">
        <v>9.1899999999999996E-2</v>
      </c>
      <c r="Z4" s="2">
        <v>0.1075</v>
      </c>
      <c r="AA4" s="2">
        <v>0.10489999999999999</v>
      </c>
      <c r="AB4" s="2">
        <v>7.6700000000000004E-2</v>
      </c>
      <c r="AC4" s="2">
        <v>0.50539999999999996</v>
      </c>
      <c r="AD4" s="2">
        <v>0.42520000000000002</v>
      </c>
      <c r="AE4" s="2">
        <v>0.81479999999999997</v>
      </c>
      <c r="AF4" s="2">
        <v>1</v>
      </c>
      <c r="AG4" s="2">
        <v>0.38779999999999998</v>
      </c>
      <c r="AH4" s="2">
        <v>0.91300000000000003</v>
      </c>
      <c r="AI4" s="2">
        <v>0.80740000000000001</v>
      </c>
      <c r="AJ4" s="2">
        <v>0.54859999999999998</v>
      </c>
      <c r="AK4" s="2">
        <v>1</v>
      </c>
      <c r="AL4" s="2">
        <v>1</v>
      </c>
      <c r="AM4" s="2">
        <v>0.13150000000000001</v>
      </c>
      <c r="AN4" s="2">
        <v>0.18479999999999999</v>
      </c>
      <c r="AO4" s="2">
        <v>0.1741</v>
      </c>
      <c r="AP4" s="2">
        <v>0.16139999999999999</v>
      </c>
      <c r="AQ4" s="2">
        <v>0.14710000000000001</v>
      </c>
      <c r="AR4" s="2">
        <v>0.1467</v>
      </c>
      <c r="AS4" s="2">
        <v>0.16500000000000001</v>
      </c>
      <c r="AT4" s="2">
        <v>0.17979999999999999</v>
      </c>
      <c r="AU4" s="2">
        <v>0.18990000000000001</v>
      </c>
      <c r="AV4" s="2">
        <v>0.14249999999999999</v>
      </c>
      <c r="AW4" s="2">
        <v>287.61</v>
      </c>
      <c r="AX4" s="3">
        <v>2</v>
      </c>
      <c r="AY4" s="3">
        <v>367</v>
      </c>
      <c r="AZ4" s="1" t="s">
        <v>57</v>
      </c>
    </row>
    <row r="5" spans="1:52" x14ac:dyDescent="0.35">
      <c r="A5" s="1" t="b">
        <v>0</v>
      </c>
      <c r="B5" s="1">
        <v>2</v>
      </c>
      <c r="C5" s="1" t="s">
        <v>51</v>
      </c>
      <c r="D5" s="1" t="s">
        <v>56</v>
      </c>
      <c r="E5" s="1" t="s">
        <v>54</v>
      </c>
      <c r="F5" s="1">
        <v>0.1</v>
      </c>
      <c r="G5" s="1">
        <v>1</v>
      </c>
      <c r="H5" s="1">
        <v>100</v>
      </c>
      <c r="I5" s="1">
        <v>10</v>
      </c>
      <c r="J5" s="1">
        <v>50000</v>
      </c>
      <c r="K5" s="2">
        <v>8.7300000000000003E-2</v>
      </c>
      <c r="L5" s="2">
        <v>8.6699999999999999E-2</v>
      </c>
      <c r="M5" s="2">
        <v>6.9999999999999999E-4</v>
      </c>
      <c r="N5" s="2">
        <v>0.55510000000000004</v>
      </c>
      <c r="O5" s="2">
        <v>0.13420000000000001</v>
      </c>
      <c r="P5" s="2">
        <v>0.1404</v>
      </c>
      <c r="Q5" s="2">
        <v>1.6000000000000001E-3</v>
      </c>
      <c r="R5" s="2">
        <v>1</v>
      </c>
      <c r="S5" s="2">
        <v>0.1032</v>
      </c>
      <c r="T5" s="2">
        <v>0.1159</v>
      </c>
      <c r="U5" s="2">
        <v>6.93E-2</v>
      </c>
      <c r="V5" s="2">
        <v>9.4E-2</v>
      </c>
      <c r="W5" s="2">
        <v>7.5899999999999995E-2</v>
      </c>
      <c r="X5" s="2">
        <v>6.6900000000000001E-2</v>
      </c>
      <c r="Y5" s="2">
        <v>5.7099999999999998E-2</v>
      </c>
      <c r="Z5" s="2">
        <v>9.8900000000000002E-2</v>
      </c>
      <c r="AA5" s="2">
        <v>0.13569999999999999</v>
      </c>
      <c r="AB5" s="2">
        <v>5.0599999999999999E-2</v>
      </c>
      <c r="AC5" s="2">
        <v>1</v>
      </c>
      <c r="AD5" s="2">
        <v>0.2036</v>
      </c>
      <c r="AE5" s="2">
        <v>0.27400000000000002</v>
      </c>
      <c r="AF5" s="2">
        <v>1</v>
      </c>
      <c r="AG5" s="2">
        <v>0.27139999999999997</v>
      </c>
      <c r="AH5" s="2">
        <v>0.2064</v>
      </c>
      <c r="AI5" s="2">
        <v>0.2172</v>
      </c>
      <c r="AJ5" s="2">
        <v>1</v>
      </c>
      <c r="AK5" s="2">
        <v>0.37880000000000003</v>
      </c>
      <c r="AL5" s="2">
        <v>1</v>
      </c>
      <c r="AM5" s="2">
        <v>0.18709999999999999</v>
      </c>
      <c r="AN5" s="2">
        <v>0.1477</v>
      </c>
      <c r="AO5" s="2">
        <v>0.11070000000000001</v>
      </c>
      <c r="AP5" s="2">
        <v>0.17180000000000001</v>
      </c>
      <c r="AQ5" s="2">
        <v>0.1186</v>
      </c>
      <c r="AR5" s="2">
        <v>0.10100000000000001</v>
      </c>
      <c r="AS5" s="2">
        <v>9.0399999999999994E-2</v>
      </c>
      <c r="AT5" s="2">
        <v>0.18</v>
      </c>
      <c r="AU5" s="2">
        <v>0.19980000000000001</v>
      </c>
      <c r="AV5" s="2">
        <v>9.6299999999999997E-2</v>
      </c>
      <c r="AW5" s="2">
        <v>10316.287</v>
      </c>
      <c r="AX5" s="3">
        <v>2</v>
      </c>
      <c r="AY5" s="3">
        <v>4101</v>
      </c>
      <c r="AZ5" s="1" t="s">
        <v>58</v>
      </c>
    </row>
    <row r="6" spans="1:52" x14ac:dyDescent="0.35">
      <c r="A6" s="1" t="b">
        <v>0</v>
      </c>
      <c r="B6" s="1">
        <v>3</v>
      </c>
      <c r="C6" s="1" t="s">
        <v>51</v>
      </c>
      <c r="D6" s="1" t="s">
        <v>51</v>
      </c>
      <c r="E6" s="1" t="s">
        <v>52</v>
      </c>
      <c r="F6" s="1">
        <v>0.1</v>
      </c>
      <c r="G6" s="1">
        <v>1</v>
      </c>
      <c r="H6" s="1">
        <v>100</v>
      </c>
      <c r="I6" s="1">
        <v>10</v>
      </c>
      <c r="J6" s="1">
        <v>50000</v>
      </c>
      <c r="K6" s="2">
        <v>9.0499999999999997E-2</v>
      </c>
      <c r="L6" s="2">
        <v>9.3299999999999994E-2</v>
      </c>
      <c r="M6" s="2">
        <v>2.0000000000000001E-4</v>
      </c>
      <c r="N6" s="2">
        <v>0.87929999999999997</v>
      </c>
      <c r="O6" s="2">
        <v>2.3300000000000001E-2</v>
      </c>
      <c r="P6" s="2">
        <v>0.1673</v>
      </c>
      <c r="Q6" s="2">
        <v>2.9999999999999997E-4</v>
      </c>
      <c r="R6" s="2">
        <v>1</v>
      </c>
      <c r="S6" s="2">
        <v>8.5000000000000006E-2</v>
      </c>
      <c r="T6" s="2">
        <v>6.7799999999999999E-2</v>
      </c>
      <c r="U6" s="2">
        <v>0.10009999999999999</v>
      </c>
      <c r="V6" s="2">
        <v>0.1009</v>
      </c>
      <c r="W6" s="2">
        <v>9.7299999999999998E-2</v>
      </c>
      <c r="X6" s="2">
        <v>9.2700000000000005E-2</v>
      </c>
      <c r="Y6" s="2">
        <v>9.7000000000000003E-2</v>
      </c>
      <c r="Z6" s="2">
        <v>9.3700000000000006E-2</v>
      </c>
      <c r="AA6" s="2">
        <v>8.2000000000000003E-2</v>
      </c>
      <c r="AB6" s="2">
        <v>0.11700000000000001</v>
      </c>
      <c r="AC6" s="2">
        <v>0.8518</v>
      </c>
      <c r="AD6" s="2">
        <v>1</v>
      </c>
      <c r="AE6" s="2">
        <v>0.68540000000000001</v>
      </c>
      <c r="AF6" s="2">
        <v>0.98360000000000003</v>
      </c>
      <c r="AG6" s="2">
        <v>0.96040000000000003</v>
      </c>
      <c r="AH6" s="2">
        <v>1</v>
      </c>
      <c r="AI6" s="2">
        <v>0.75480000000000003</v>
      </c>
      <c r="AJ6" s="2">
        <v>1</v>
      </c>
      <c r="AK6" s="2">
        <v>1</v>
      </c>
      <c r="AL6" s="2">
        <v>0.55720000000000003</v>
      </c>
      <c r="AM6" s="2">
        <v>0.15459999999999999</v>
      </c>
      <c r="AN6" s="2">
        <v>0.127</v>
      </c>
      <c r="AO6" s="2">
        <v>0.17469999999999999</v>
      </c>
      <c r="AP6" s="2">
        <v>0.18290000000000001</v>
      </c>
      <c r="AQ6" s="2">
        <v>0.17660000000000001</v>
      </c>
      <c r="AR6" s="2">
        <v>0.1696</v>
      </c>
      <c r="AS6" s="2">
        <v>0.1719</v>
      </c>
      <c r="AT6" s="2">
        <v>0.17130000000000001</v>
      </c>
      <c r="AU6" s="2">
        <v>0.1515</v>
      </c>
      <c r="AV6" s="2">
        <v>0.19339999999999999</v>
      </c>
      <c r="AW6" s="2">
        <v>16061.196</v>
      </c>
      <c r="AX6" s="3">
        <v>3</v>
      </c>
      <c r="AY6" s="3">
        <v>4458</v>
      </c>
      <c r="AZ6" s="1" t="s">
        <v>53</v>
      </c>
    </row>
    <row r="7" spans="1:52" x14ac:dyDescent="0.35">
      <c r="A7" s="1" t="b">
        <v>0</v>
      </c>
      <c r="B7" s="1">
        <v>3</v>
      </c>
      <c r="C7" s="1" t="s">
        <v>51</v>
      </c>
      <c r="D7" s="1" t="s">
        <v>51</v>
      </c>
      <c r="E7" s="1" t="s">
        <v>54</v>
      </c>
      <c r="F7" s="1">
        <v>0.1</v>
      </c>
      <c r="G7" s="1">
        <v>1</v>
      </c>
      <c r="H7" s="1">
        <v>100</v>
      </c>
      <c r="I7" s="1">
        <v>10</v>
      </c>
      <c r="J7" s="1">
        <v>50000</v>
      </c>
      <c r="K7" s="2">
        <v>0.10100000000000001</v>
      </c>
      <c r="L7" s="2">
        <v>0.09</v>
      </c>
      <c r="M7" s="2">
        <v>2.0999999999999999E-3</v>
      </c>
      <c r="N7" s="2">
        <v>0.70679999999999998</v>
      </c>
      <c r="O7" s="2">
        <v>0.15939999999999999</v>
      </c>
      <c r="P7" s="2">
        <v>0.1515</v>
      </c>
      <c r="Q7" s="2">
        <v>5.4999999999999997E-3</v>
      </c>
      <c r="R7" s="2">
        <v>0.9</v>
      </c>
      <c r="S7" s="2">
        <v>9.2200000000000004E-2</v>
      </c>
      <c r="T7" s="2">
        <v>3.1199999999999999E-2</v>
      </c>
      <c r="U7" s="2">
        <v>0</v>
      </c>
      <c r="V7" s="2">
        <v>9.5000000000000001E-2</v>
      </c>
      <c r="W7" s="2">
        <v>8.9300000000000004E-2</v>
      </c>
      <c r="X7" s="2">
        <v>0.18229999999999999</v>
      </c>
      <c r="Y7" s="2">
        <v>0.113</v>
      </c>
      <c r="Z7" s="2">
        <v>9.7900000000000001E-2</v>
      </c>
      <c r="AA7" s="2">
        <v>0.10589999999999999</v>
      </c>
      <c r="AB7" s="2">
        <v>9.35E-2</v>
      </c>
      <c r="AC7" s="2">
        <v>0.66379999999999995</v>
      </c>
      <c r="AD7" s="2">
        <v>1.9199999999999998E-2</v>
      </c>
      <c r="AE7" s="2">
        <v>0</v>
      </c>
      <c r="AF7" s="2">
        <v>1</v>
      </c>
      <c r="AG7" s="2">
        <v>1</v>
      </c>
      <c r="AH7" s="2">
        <v>0.38500000000000001</v>
      </c>
      <c r="AI7" s="2">
        <v>1</v>
      </c>
      <c r="AJ7" s="2">
        <v>1</v>
      </c>
      <c r="AK7" s="2">
        <v>1</v>
      </c>
      <c r="AL7" s="2">
        <v>1</v>
      </c>
      <c r="AM7" s="2">
        <v>0.16189999999999999</v>
      </c>
      <c r="AN7" s="2">
        <v>2.3800000000000002E-2</v>
      </c>
      <c r="AO7" s="2">
        <v>0</v>
      </c>
      <c r="AP7" s="2">
        <v>0.17349999999999999</v>
      </c>
      <c r="AQ7" s="2">
        <v>0.16400000000000001</v>
      </c>
      <c r="AR7" s="2">
        <v>0.2475</v>
      </c>
      <c r="AS7" s="2">
        <v>0.20300000000000001</v>
      </c>
      <c r="AT7" s="2">
        <v>0.17829999999999999</v>
      </c>
      <c r="AU7" s="2">
        <v>0.1915</v>
      </c>
      <c r="AV7" s="2">
        <v>0.17100000000000001</v>
      </c>
      <c r="AW7" s="2">
        <v>18615.712</v>
      </c>
      <c r="AX7" s="3">
        <v>3</v>
      </c>
      <c r="AY7" s="3">
        <v>6506</v>
      </c>
      <c r="AZ7" s="1" t="s">
        <v>55</v>
      </c>
    </row>
    <row r="8" spans="1:52" x14ac:dyDescent="0.35">
      <c r="A8" s="1" t="b">
        <v>0</v>
      </c>
      <c r="B8" s="1">
        <v>3</v>
      </c>
      <c r="C8" s="1" t="s">
        <v>51</v>
      </c>
      <c r="D8" s="1" t="s">
        <v>56</v>
      </c>
      <c r="E8" s="1" t="s">
        <v>52</v>
      </c>
      <c r="F8" s="1">
        <v>0.1</v>
      </c>
      <c r="G8" s="1">
        <v>1</v>
      </c>
      <c r="H8" s="1">
        <v>100</v>
      </c>
      <c r="I8" s="1">
        <v>10</v>
      </c>
      <c r="J8" s="1">
        <v>50000</v>
      </c>
      <c r="K8" s="2">
        <v>9.9099999999999994E-2</v>
      </c>
      <c r="L8" s="2">
        <v>0.1066</v>
      </c>
      <c r="M8" s="2">
        <v>2.0000000000000001E-4</v>
      </c>
      <c r="N8" s="2">
        <v>0.66449999999999998</v>
      </c>
      <c r="O8" s="2">
        <v>6.9500000000000006E-2</v>
      </c>
      <c r="P8" s="2">
        <v>0.17749999999999999</v>
      </c>
      <c r="Q8" s="2">
        <v>4.0000000000000002E-4</v>
      </c>
      <c r="R8" s="2">
        <v>1</v>
      </c>
      <c r="S8" s="2">
        <v>8.2199999999999995E-2</v>
      </c>
      <c r="T8" s="2">
        <v>0.1125</v>
      </c>
      <c r="U8" s="2">
        <v>0.1018</v>
      </c>
      <c r="V8" s="2">
        <v>0.11070000000000001</v>
      </c>
      <c r="W8" s="2">
        <v>0.1104</v>
      </c>
      <c r="X8" s="2">
        <v>8.1900000000000001E-2</v>
      </c>
      <c r="Y8" s="2">
        <v>0.11550000000000001</v>
      </c>
      <c r="Z8" s="2">
        <v>0.11550000000000001</v>
      </c>
      <c r="AA8" s="2">
        <v>0.1019</v>
      </c>
      <c r="AB8" s="2">
        <v>0.1338</v>
      </c>
      <c r="AC8" s="2">
        <v>1</v>
      </c>
      <c r="AD8" s="2">
        <v>0.69699999999999995</v>
      </c>
      <c r="AE8" s="2">
        <v>0.30459999999999998</v>
      </c>
      <c r="AF8" s="2">
        <v>0.61240000000000006</v>
      </c>
      <c r="AG8" s="2">
        <v>1</v>
      </c>
      <c r="AH8" s="2">
        <v>0.73299999999999998</v>
      </c>
      <c r="AI8" s="2">
        <v>0.6028</v>
      </c>
      <c r="AJ8" s="2">
        <v>0.26319999999999999</v>
      </c>
      <c r="AK8" s="2">
        <v>1</v>
      </c>
      <c r="AL8" s="2">
        <v>0.432</v>
      </c>
      <c r="AM8" s="2">
        <v>0.15179999999999999</v>
      </c>
      <c r="AN8" s="2">
        <v>0.19370000000000001</v>
      </c>
      <c r="AO8" s="2">
        <v>0.15260000000000001</v>
      </c>
      <c r="AP8" s="2">
        <v>0.1875</v>
      </c>
      <c r="AQ8" s="2">
        <v>0.19889999999999999</v>
      </c>
      <c r="AR8" s="2">
        <v>0.14729999999999999</v>
      </c>
      <c r="AS8" s="2">
        <v>0.1938</v>
      </c>
      <c r="AT8" s="2">
        <v>0.1605</v>
      </c>
      <c r="AU8" s="2">
        <v>0.185</v>
      </c>
      <c r="AV8" s="2">
        <v>0.20430000000000001</v>
      </c>
      <c r="AW8" s="2">
        <v>397.25</v>
      </c>
      <c r="AX8" s="3">
        <v>3</v>
      </c>
      <c r="AY8" s="3">
        <v>372</v>
      </c>
      <c r="AZ8" s="1" t="s">
        <v>57</v>
      </c>
    </row>
    <row r="9" spans="1:52" x14ac:dyDescent="0.35">
      <c r="A9" s="1" t="b">
        <v>0</v>
      </c>
      <c r="B9" s="1">
        <v>3</v>
      </c>
      <c r="C9" s="1" t="s">
        <v>51</v>
      </c>
      <c r="D9" s="1" t="s">
        <v>56</v>
      </c>
      <c r="E9" s="1" t="s">
        <v>54</v>
      </c>
      <c r="F9" s="1">
        <v>0.1</v>
      </c>
      <c r="G9" s="1">
        <v>1</v>
      </c>
      <c r="H9" s="1">
        <v>100</v>
      </c>
      <c r="I9" s="1">
        <v>10</v>
      </c>
      <c r="J9" s="1">
        <v>50000</v>
      </c>
      <c r="K9" s="2">
        <v>8.7800000000000003E-2</v>
      </c>
      <c r="L9" s="2">
        <v>8.9399999999999993E-2</v>
      </c>
      <c r="M9" s="2">
        <v>1.5E-3</v>
      </c>
      <c r="N9" s="2">
        <v>0.67969999999999997</v>
      </c>
      <c r="O9" s="2">
        <v>0.15310000000000001</v>
      </c>
      <c r="P9" s="2">
        <v>0.13370000000000001</v>
      </c>
      <c r="Q9" s="2">
        <v>5.0000000000000001E-3</v>
      </c>
      <c r="R9" s="2">
        <v>0.9</v>
      </c>
      <c r="S9" s="2">
        <v>5.1700000000000003E-2</v>
      </c>
      <c r="T9" s="2">
        <v>0.11070000000000001</v>
      </c>
      <c r="U9" s="2">
        <v>9.4E-2</v>
      </c>
      <c r="V9" s="2">
        <v>0.13</v>
      </c>
      <c r="W9" s="2">
        <v>0.1333</v>
      </c>
      <c r="X9" s="2">
        <v>0</v>
      </c>
      <c r="Y9" s="2">
        <v>8.5400000000000004E-2</v>
      </c>
      <c r="Z9" s="2">
        <v>8.2400000000000001E-2</v>
      </c>
      <c r="AA9" s="2">
        <v>0.1255</v>
      </c>
      <c r="AB9" s="2">
        <v>8.1299999999999997E-2</v>
      </c>
      <c r="AC9" s="2">
        <v>1</v>
      </c>
      <c r="AD9" s="2">
        <v>0.78059999999999996</v>
      </c>
      <c r="AE9" s="2">
        <v>0.88100000000000001</v>
      </c>
      <c r="AF9" s="2">
        <v>0.81699999999999995</v>
      </c>
      <c r="AG9" s="2">
        <v>6.0000000000000001E-3</v>
      </c>
      <c r="AH9" s="2">
        <v>0</v>
      </c>
      <c r="AI9" s="2">
        <v>1</v>
      </c>
      <c r="AJ9" s="2">
        <v>1</v>
      </c>
      <c r="AK9" s="2">
        <v>0.31240000000000001</v>
      </c>
      <c r="AL9" s="2">
        <v>1</v>
      </c>
      <c r="AM9" s="2">
        <v>9.8299999999999998E-2</v>
      </c>
      <c r="AN9" s="2">
        <v>0.19389999999999999</v>
      </c>
      <c r="AO9" s="2">
        <v>0.16980000000000001</v>
      </c>
      <c r="AP9" s="2">
        <v>0.2243</v>
      </c>
      <c r="AQ9" s="2">
        <v>1.15E-2</v>
      </c>
      <c r="AR9" s="2">
        <v>0</v>
      </c>
      <c r="AS9" s="2">
        <v>0.15740000000000001</v>
      </c>
      <c r="AT9" s="2">
        <v>0.1522</v>
      </c>
      <c r="AU9" s="2">
        <v>0.17899999999999999</v>
      </c>
      <c r="AV9" s="2">
        <v>0.15049999999999999</v>
      </c>
      <c r="AW9" s="2">
        <v>10703.037</v>
      </c>
      <c r="AX9" s="3">
        <v>3</v>
      </c>
      <c r="AY9" s="3">
        <v>4463</v>
      </c>
      <c r="AZ9" s="1" t="s">
        <v>58</v>
      </c>
    </row>
    <row r="10" spans="1:52" x14ac:dyDescent="0.35">
      <c r="A10" s="1" t="b">
        <v>0</v>
      </c>
      <c r="B10" s="1">
        <v>5</v>
      </c>
      <c r="C10" s="1" t="s">
        <v>51</v>
      </c>
      <c r="D10" s="1" t="s">
        <v>51</v>
      </c>
      <c r="E10" s="1" t="s">
        <v>52</v>
      </c>
      <c r="F10" s="1">
        <v>0.1</v>
      </c>
      <c r="G10" s="1">
        <v>1</v>
      </c>
      <c r="H10" s="1">
        <v>100</v>
      </c>
      <c r="I10" s="1">
        <v>10</v>
      </c>
      <c r="J10" s="1">
        <v>50000</v>
      </c>
      <c r="K10" s="2">
        <v>8.2199999999999995E-2</v>
      </c>
      <c r="L10" s="2">
        <v>8.5900000000000004E-2</v>
      </c>
      <c r="M10" s="2">
        <v>4.0000000000000002E-4</v>
      </c>
      <c r="N10" s="2">
        <v>0.83120000000000005</v>
      </c>
      <c r="O10" s="2">
        <v>3.5299999999999998E-2</v>
      </c>
      <c r="P10" s="2">
        <v>0.15379999999999999</v>
      </c>
      <c r="Q10" s="2">
        <v>1E-3</v>
      </c>
      <c r="R10" s="2">
        <v>1</v>
      </c>
      <c r="S10" s="2">
        <v>4.6300000000000001E-2</v>
      </c>
      <c r="T10" s="2">
        <v>8.8999999999999996E-2</v>
      </c>
      <c r="U10" s="2">
        <v>7.1099999999999997E-2</v>
      </c>
      <c r="V10" s="2">
        <v>0.11940000000000001</v>
      </c>
      <c r="W10" s="2">
        <v>0.1101</v>
      </c>
      <c r="X10" s="2">
        <v>8.4400000000000003E-2</v>
      </c>
      <c r="Y10" s="2">
        <v>6.9400000000000003E-2</v>
      </c>
      <c r="Z10" s="2">
        <v>9.3899999999999997E-2</v>
      </c>
      <c r="AA10" s="2">
        <v>9.4100000000000003E-2</v>
      </c>
      <c r="AB10" s="2">
        <v>8.14E-2</v>
      </c>
      <c r="AC10" s="2">
        <v>1</v>
      </c>
      <c r="AD10" s="2">
        <v>1</v>
      </c>
      <c r="AE10" s="2">
        <v>0.64980000000000004</v>
      </c>
      <c r="AF10" s="2">
        <v>0.85919999999999996</v>
      </c>
      <c r="AG10" s="2">
        <v>0.54120000000000001</v>
      </c>
      <c r="AH10" s="2">
        <v>1</v>
      </c>
      <c r="AI10" s="2">
        <v>1</v>
      </c>
      <c r="AJ10" s="2">
        <v>0.71160000000000001</v>
      </c>
      <c r="AK10" s="2">
        <v>1</v>
      </c>
      <c r="AL10" s="2">
        <v>0.5504</v>
      </c>
      <c r="AM10" s="2">
        <v>8.8499999999999995E-2</v>
      </c>
      <c r="AN10" s="2">
        <v>0.16350000000000001</v>
      </c>
      <c r="AO10" s="2">
        <v>0.12820000000000001</v>
      </c>
      <c r="AP10" s="2">
        <v>0.2097</v>
      </c>
      <c r="AQ10" s="2">
        <v>0.183</v>
      </c>
      <c r="AR10" s="2">
        <v>0.15570000000000001</v>
      </c>
      <c r="AS10" s="2">
        <v>0.1298</v>
      </c>
      <c r="AT10" s="2">
        <v>0.16589999999999999</v>
      </c>
      <c r="AU10" s="2">
        <v>0.1719</v>
      </c>
      <c r="AV10" s="2">
        <v>0.14180000000000001</v>
      </c>
      <c r="AW10" s="2">
        <v>32126.001</v>
      </c>
      <c r="AX10" s="3">
        <v>5</v>
      </c>
      <c r="AY10" s="3">
        <v>8554</v>
      </c>
      <c r="AZ10" s="1" t="s">
        <v>53</v>
      </c>
    </row>
    <row r="11" spans="1:52" x14ac:dyDescent="0.35">
      <c r="A11" s="1" t="b">
        <v>0</v>
      </c>
      <c r="B11" s="1">
        <v>5</v>
      </c>
      <c r="C11" s="1" t="s">
        <v>51</v>
      </c>
      <c r="D11" s="1" t="s">
        <v>51</v>
      </c>
      <c r="E11" s="1" t="s">
        <v>54</v>
      </c>
      <c r="F11" s="1">
        <v>0.1</v>
      </c>
      <c r="G11" s="1">
        <v>1</v>
      </c>
      <c r="H11" s="1">
        <v>100</v>
      </c>
      <c r="I11" s="1">
        <v>10</v>
      </c>
      <c r="J11" s="1">
        <v>50000</v>
      </c>
      <c r="K11" s="2">
        <v>9.3899999999999997E-2</v>
      </c>
      <c r="L11" s="2">
        <v>0.10630000000000001</v>
      </c>
      <c r="M11" s="2">
        <v>6.9999999999999999E-4</v>
      </c>
      <c r="N11" s="2">
        <v>0.73809999999999998</v>
      </c>
      <c r="O11" s="2">
        <v>4.3200000000000002E-2</v>
      </c>
      <c r="P11" s="2">
        <v>0.18160000000000001</v>
      </c>
      <c r="Q11" s="2">
        <v>1.5E-3</v>
      </c>
      <c r="R11" s="2">
        <v>1</v>
      </c>
      <c r="S11" s="2">
        <v>0.15640000000000001</v>
      </c>
      <c r="T11" s="2">
        <v>0.11409999999999999</v>
      </c>
      <c r="U11" s="2">
        <v>0.10730000000000001</v>
      </c>
      <c r="V11" s="2">
        <v>0.12920000000000001</v>
      </c>
      <c r="W11" s="2">
        <v>9.1700000000000004E-2</v>
      </c>
      <c r="X11" s="2">
        <v>0.1075</v>
      </c>
      <c r="Y11" s="2">
        <v>6.3299999999999995E-2</v>
      </c>
      <c r="Z11" s="2">
        <v>0.11600000000000001</v>
      </c>
      <c r="AA11" s="2">
        <v>6.7199999999999996E-2</v>
      </c>
      <c r="AB11" s="2">
        <v>0.1106</v>
      </c>
      <c r="AC11" s="2">
        <v>0.82099999999999995</v>
      </c>
      <c r="AD11" s="2">
        <v>0.39779999999999999</v>
      </c>
      <c r="AE11" s="2">
        <v>0.7288</v>
      </c>
      <c r="AF11" s="2">
        <v>0.63019999999999998</v>
      </c>
      <c r="AG11" s="2">
        <v>1</v>
      </c>
      <c r="AH11" s="2">
        <v>0.67359999999999998</v>
      </c>
      <c r="AI11" s="2">
        <v>1</v>
      </c>
      <c r="AJ11" s="2">
        <v>0.68279999999999996</v>
      </c>
      <c r="AK11" s="2">
        <v>1</v>
      </c>
      <c r="AL11" s="2">
        <v>0.44679999999999997</v>
      </c>
      <c r="AM11" s="2">
        <v>0.26269999999999999</v>
      </c>
      <c r="AN11" s="2">
        <v>0.1774</v>
      </c>
      <c r="AO11" s="2">
        <v>0.18709999999999999</v>
      </c>
      <c r="AP11" s="2">
        <v>0.21440000000000001</v>
      </c>
      <c r="AQ11" s="2">
        <v>0.16800000000000001</v>
      </c>
      <c r="AR11" s="2">
        <v>0.18540000000000001</v>
      </c>
      <c r="AS11" s="2">
        <v>0.1191</v>
      </c>
      <c r="AT11" s="2">
        <v>0.1983</v>
      </c>
      <c r="AU11" s="2">
        <v>0.12590000000000001</v>
      </c>
      <c r="AV11" s="2">
        <v>0.17730000000000001</v>
      </c>
      <c r="AW11" s="2">
        <v>34547.017999999996</v>
      </c>
      <c r="AX11" s="3">
        <v>5</v>
      </c>
      <c r="AY11" s="3">
        <v>10602</v>
      </c>
      <c r="AZ11" s="1" t="s">
        <v>55</v>
      </c>
    </row>
    <row r="12" spans="1:52" x14ac:dyDescent="0.35">
      <c r="A12" s="1" t="b">
        <v>0</v>
      </c>
      <c r="B12" s="1">
        <v>5</v>
      </c>
      <c r="C12" s="1" t="s">
        <v>51</v>
      </c>
      <c r="D12" s="1" t="s">
        <v>56</v>
      </c>
      <c r="E12" s="1" t="s">
        <v>52</v>
      </c>
      <c r="F12" s="1">
        <v>0.1</v>
      </c>
      <c r="G12" s="1">
        <v>1</v>
      </c>
      <c r="H12" s="1">
        <v>100</v>
      </c>
      <c r="I12" s="1">
        <v>10</v>
      </c>
      <c r="J12" s="1">
        <v>50000</v>
      </c>
      <c r="K12" s="2">
        <v>9.9000000000000005E-2</v>
      </c>
      <c r="L12" s="2">
        <v>9.2399999999999996E-2</v>
      </c>
      <c r="M12" s="2">
        <v>4.0000000000000002E-4</v>
      </c>
      <c r="N12" s="2">
        <v>0.65849999999999997</v>
      </c>
      <c r="O12" s="2">
        <v>0.11559999999999999</v>
      </c>
      <c r="P12" s="2">
        <v>0.15670000000000001</v>
      </c>
      <c r="Q12" s="2">
        <v>1.4E-3</v>
      </c>
      <c r="R12" s="2">
        <v>1</v>
      </c>
      <c r="S12" s="2">
        <v>5.0599999999999999E-2</v>
      </c>
      <c r="T12" s="2">
        <v>0.1084</v>
      </c>
      <c r="U12" s="2">
        <v>0.1016</v>
      </c>
      <c r="V12" s="2">
        <v>8.9700000000000002E-2</v>
      </c>
      <c r="W12" s="2">
        <v>8.9800000000000005E-2</v>
      </c>
      <c r="X12" s="2">
        <v>0.11940000000000001</v>
      </c>
      <c r="Y12" s="2">
        <v>0.1072</v>
      </c>
      <c r="Z12" s="2">
        <v>9.1600000000000001E-2</v>
      </c>
      <c r="AA12" s="2">
        <v>6.1800000000000001E-2</v>
      </c>
      <c r="AB12" s="2">
        <v>0.1037</v>
      </c>
      <c r="AC12" s="2">
        <v>0.13039999999999999</v>
      </c>
      <c r="AD12" s="2">
        <v>1</v>
      </c>
      <c r="AE12" s="2">
        <v>1</v>
      </c>
      <c r="AF12" s="2">
        <v>0.47699999999999998</v>
      </c>
      <c r="AG12" s="2">
        <v>0.29620000000000002</v>
      </c>
      <c r="AH12" s="2">
        <v>0.28139999999999998</v>
      </c>
      <c r="AI12" s="2">
        <v>1</v>
      </c>
      <c r="AJ12" s="2">
        <v>1</v>
      </c>
      <c r="AK12" s="2">
        <v>0.47599999999999998</v>
      </c>
      <c r="AL12" s="2">
        <v>0.92400000000000004</v>
      </c>
      <c r="AM12" s="2">
        <v>7.2900000000000006E-2</v>
      </c>
      <c r="AN12" s="2">
        <v>0.1956</v>
      </c>
      <c r="AO12" s="2">
        <v>0.18440000000000001</v>
      </c>
      <c r="AP12" s="2">
        <v>0.151</v>
      </c>
      <c r="AQ12" s="2">
        <v>0.13780000000000001</v>
      </c>
      <c r="AR12" s="2">
        <v>0.16769999999999999</v>
      </c>
      <c r="AS12" s="2">
        <v>0.19370000000000001</v>
      </c>
      <c r="AT12" s="2">
        <v>0.16789999999999999</v>
      </c>
      <c r="AU12" s="2">
        <v>0.10929999999999999</v>
      </c>
      <c r="AV12" s="2">
        <v>0.18640000000000001</v>
      </c>
      <c r="AW12" s="2">
        <v>8425.3469999999998</v>
      </c>
      <c r="AX12" s="3">
        <v>5</v>
      </c>
      <c r="AY12" s="3">
        <v>2425</v>
      </c>
      <c r="AZ12" s="1" t="s">
        <v>57</v>
      </c>
    </row>
    <row r="13" spans="1:52" x14ac:dyDescent="0.35">
      <c r="A13" s="1" t="b">
        <v>0</v>
      </c>
      <c r="B13" s="1">
        <v>5</v>
      </c>
      <c r="C13" s="1" t="s">
        <v>51</v>
      </c>
      <c r="D13" s="1" t="s">
        <v>56</v>
      </c>
      <c r="E13" s="1" t="s">
        <v>54</v>
      </c>
      <c r="F13" s="1">
        <v>0.1</v>
      </c>
      <c r="G13" s="1">
        <v>1</v>
      </c>
      <c r="H13" s="1">
        <v>100</v>
      </c>
      <c r="I13" s="1">
        <v>10</v>
      </c>
      <c r="J13" s="1">
        <v>50000</v>
      </c>
      <c r="K13" s="2">
        <v>8.9099999999999999E-2</v>
      </c>
      <c r="L13" s="2">
        <v>7.8399999999999997E-2</v>
      </c>
      <c r="M13" s="2">
        <v>1.1000000000000001E-3</v>
      </c>
      <c r="N13" s="2">
        <v>0.70130000000000003</v>
      </c>
      <c r="O13" s="2">
        <v>0.14990000000000001</v>
      </c>
      <c r="P13" s="2">
        <v>0.13689999999999999</v>
      </c>
      <c r="Q13" s="2">
        <v>3.3E-3</v>
      </c>
      <c r="R13" s="2">
        <v>0.9</v>
      </c>
      <c r="S13" s="2">
        <v>4.3099999999999999E-2</v>
      </c>
      <c r="T13" s="2">
        <v>0</v>
      </c>
      <c r="U13" s="2">
        <v>0.10100000000000001</v>
      </c>
      <c r="V13" s="2">
        <v>8.2600000000000007E-2</v>
      </c>
      <c r="W13" s="2">
        <v>0.10780000000000001</v>
      </c>
      <c r="X13" s="2">
        <v>8.5199999999999998E-2</v>
      </c>
      <c r="Y13" s="2">
        <v>9.1600000000000001E-2</v>
      </c>
      <c r="Z13" s="2">
        <v>0.1043</v>
      </c>
      <c r="AA13" s="2">
        <v>5.9299999999999999E-2</v>
      </c>
      <c r="AB13" s="2">
        <v>0.1085</v>
      </c>
      <c r="AC13" s="2">
        <v>0.18099999999999999</v>
      </c>
      <c r="AD13" s="2">
        <v>0</v>
      </c>
      <c r="AE13" s="2">
        <v>1</v>
      </c>
      <c r="AF13" s="2">
        <v>1</v>
      </c>
      <c r="AG13" s="2">
        <v>0.2782</v>
      </c>
      <c r="AH13" s="2">
        <v>1</v>
      </c>
      <c r="AI13" s="2">
        <v>1</v>
      </c>
      <c r="AJ13" s="2">
        <v>0.55420000000000003</v>
      </c>
      <c r="AK13" s="2">
        <v>1</v>
      </c>
      <c r="AL13" s="2">
        <v>1</v>
      </c>
      <c r="AM13" s="2">
        <v>6.9599999999999995E-2</v>
      </c>
      <c r="AN13" s="2">
        <v>0</v>
      </c>
      <c r="AO13" s="2">
        <v>0.1835</v>
      </c>
      <c r="AP13" s="2">
        <v>0.15260000000000001</v>
      </c>
      <c r="AQ13" s="2">
        <v>0.15540000000000001</v>
      </c>
      <c r="AR13" s="2">
        <v>0.157</v>
      </c>
      <c r="AS13" s="2">
        <v>0.16789999999999999</v>
      </c>
      <c r="AT13" s="2">
        <v>0.17560000000000001</v>
      </c>
      <c r="AU13" s="2">
        <v>0.112</v>
      </c>
      <c r="AV13" s="2">
        <v>0.1958</v>
      </c>
      <c r="AW13" s="2">
        <v>18808.368999999999</v>
      </c>
      <c r="AX13" s="3">
        <v>5</v>
      </c>
      <c r="AY13" s="3">
        <v>6516</v>
      </c>
      <c r="AZ13" s="1" t="s">
        <v>58</v>
      </c>
    </row>
    <row r="14" spans="1:52" s="4" customFormat="1" ht="15" x14ac:dyDescent="0.3">
      <c r="K14" s="5">
        <f>AVERAGE(K2:K13)</f>
        <v>9.1208333333333336E-2</v>
      </c>
      <c r="L14" s="5">
        <f t="shared" ref="L14:AY14" si="0">AVERAGE(L2:L13)</f>
        <v>9.2366666666666666E-2</v>
      </c>
      <c r="M14" s="5">
        <f t="shared" si="0"/>
        <v>6.9999999999999999E-4</v>
      </c>
      <c r="N14" s="5">
        <f t="shared" si="0"/>
        <v>0.72565833333333341</v>
      </c>
      <c r="O14" s="5">
        <f t="shared" si="0"/>
        <v>8.962500000000001E-2</v>
      </c>
      <c r="P14" s="5">
        <f t="shared" si="0"/>
        <v>0.15676666666666667</v>
      </c>
      <c r="Q14" s="5">
        <f t="shared" si="0"/>
        <v>1.9E-3</v>
      </c>
      <c r="R14" s="5">
        <f t="shared" si="0"/>
        <v>0.97500000000000009</v>
      </c>
      <c r="S14" s="5">
        <f t="shared" si="0"/>
        <v>7.9399999999999998E-2</v>
      </c>
      <c r="T14" s="5">
        <f t="shared" si="0"/>
        <v>8.9475000000000013E-2</v>
      </c>
      <c r="U14" s="5">
        <f t="shared" si="0"/>
        <v>8.7316666666666667E-2</v>
      </c>
      <c r="V14" s="5">
        <f t="shared" si="0"/>
        <v>0.10314166666666667</v>
      </c>
      <c r="W14" s="5">
        <f t="shared" si="0"/>
        <v>0.10375000000000001</v>
      </c>
      <c r="X14" s="5">
        <f t="shared" si="0"/>
        <v>8.8441666666666655E-2</v>
      </c>
      <c r="Y14" s="5">
        <f t="shared" si="0"/>
        <v>8.451666666666667E-2</v>
      </c>
      <c r="Z14" s="5">
        <f t="shared" si="0"/>
        <v>9.8650000000000002E-2</v>
      </c>
      <c r="AA14" s="5">
        <f t="shared" si="0"/>
        <v>9.4266666666666665E-2</v>
      </c>
      <c r="AB14" s="5">
        <f t="shared" si="0"/>
        <v>9.4808333333333342E-2</v>
      </c>
      <c r="AC14" s="5">
        <f t="shared" si="0"/>
        <v>0.70518333333333327</v>
      </c>
      <c r="AD14" s="5">
        <f t="shared" si="0"/>
        <v>0.60331666666666661</v>
      </c>
      <c r="AE14" s="5">
        <f t="shared" si="0"/>
        <v>0.68414999999999992</v>
      </c>
      <c r="AF14" s="5">
        <f t="shared" si="0"/>
        <v>0.84616666666666684</v>
      </c>
      <c r="AG14" s="5">
        <f t="shared" si="0"/>
        <v>0.59118333333333328</v>
      </c>
      <c r="AH14" s="5">
        <f t="shared" si="0"/>
        <v>0.68269999999999997</v>
      </c>
      <c r="AI14" s="5">
        <f t="shared" si="0"/>
        <v>0.85173333333333334</v>
      </c>
      <c r="AJ14" s="5">
        <f t="shared" si="0"/>
        <v>0.72721666666666662</v>
      </c>
      <c r="AK14" s="5">
        <f t="shared" si="0"/>
        <v>0.81436666666666679</v>
      </c>
      <c r="AL14" s="5">
        <f t="shared" si="0"/>
        <v>0.75063333333333337</v>
      </c>
      <c r="AM14" s="5">
        <f t="shared" si="0"/>
        <v>0.13646666666666665</v>
      </c>
      <c r="AN14" s="5">
        <f t="shared" si="0"/>
        <v>0.14794166666666667</v>
      </c>
      <c r="AO14" s="5">
        <f t="shared" si="0"/>
        <v>0.15277499999999999</v>
      </c>
      <c r="AP14" s="5">
        <f t="shared" si="0"/>
        <v>0.18194166666666667</v>
      </c>
      <c r="AQ14" s="5">
        <f t="shared" si="0"/>
        <v>0.15595000000000001</v>
      </c>
      <c r="AR14" s="5">
        <f t="shared" si="0"/>
        <v>0.14803333333333332</v>
      </c>
      <c r="AS14" s="5">
        <f t="shared" si="0"/>
        <v>0.15184999999999998</v>
      </c>
      <c r="AT14" s="5">
        <f t="shared" si="0"/>
        <v>0.16911666666666667</v>
      </c>
      <c r="AU14" s="5">
        <f t="shared" si="0"/>
        <v>0.16322500000000001</v>
      </c>
      <c r="AV14" s="5">
        <f t="shared" si="0"/>
        <v>0.16024166666666667</v>
      </c>
      <c r="AW14" s="5">
        <f t="shared" si="0"/>
        <v>14069.050500000003</v>
      </c>
      <c r="AX14" s="6">
        <f t="shared" si="0"/>
        <v>3.3333333333333335</v>
      </c>
      <c r="AY14" s="6">
        <f t="shared" si="0"/>
        <v>4602.666666666667</v>
      </c>
    </row>
    <row r="15" spans="1:52" x14ac:dyDescent="0.35">
      <c r="A15" s="1" t="b">
        <v>0</v>
      </c>
      <c r="B15" s="1">
        <v>2</v>
      </c>
      <c r="C15" s="1" t="s">
        <v>56</v>
      </c>
      <c r="D15" s="1" t="s">
        <v>51</v>
      </c>
      <c r="E15" s="1" t="s">
        <v>52</v>
      </c>
      <c r="F15" s="1">
        <v>0.1</v>
      </c>
      <c r="G15" s="1">
        <v>1</v>
      </c>
      <c r="H15" s="1">
        <v>100</v>
      </c>
      <c r="I15" s="1">
        <v>10</v>
      </c>
      <c r="J15" s="1">
        <v>50000</v>
      </c>
      <c r="K15" s="2">
        <v>9.2999999999999999E-2</v>
      </c>
      <c r="L15" s="2">
        <v>9.4299999999999995E-2</v>
      </c>
      <c r="M15" s="2">
        <v>1E-4</v>
      </c>
      <c r="N15" s="2">
        <v>0.84260000000000002</v>
      </c>
      <c r="O15" s="2">
        <v>1.24E-2</v>
      </c>
      <c r="P15" s="2">
        <v>0.16900000000000001</v>
      </c>
      <c r="Q15" s="2">
        <v>2.0000000000000001E-4</v>
      </c>
      <c r="R15" s="2">
        <v>1</v>
      </c>
      <c r="S15" s="2">
        <v>8.3500000000000005E-2</v>
      </c>
      <c r="T15" s="2">
        <v>9.6699999999999994E-2</v>
      </c>
      <c r="U15" s="2">
        <v>0.10050000000000001</v>
      </c>
      <c r="V15" s="2">
        <v>8.0799999999999997E-2</v>
      </c>
      <c r="W15" s="2">
        <v>8.9099999999999999E-2</v>
      </c>
      <c r="X15" s="2">
        <v>9.9299999999999999E-2</v>
      </c>
      <c r="Y15" s="2">
        <v>0.1017</v>
      </c>
      <c r="Z15" s="2">
        <v>9.7799999999999998E-2</v>
      </c>
      <c r="AA15" s="2">
        <v>0.11070000000000001</v>
      </c>
      <c r="AB15" s="2">
        <v>8.2699999999999996E-2</v>
      </c>
      <c r="AC15" s="2">
        <v>0.79320000000000002</v>
      </c>
      <c r="AD15" s="2">
        <v>0.8538</v>
      </c>
      <c r="AE15" s="2">
        <v>0.79979999999999996</v>
      </c>
      <c r="AF15" s="2">
        <v>1</v>
      </c>
      <c r="AG15" s="2">
        <v>0.6956</v>
      </c>
      <c r="AH15" s="2">
        <v>0.72899999999999998</v>
      </c>
      <c r="AI15" s="2">
        <v>0.80840000000000001</v>
      </c>
      <c r="AJ15" s="2">
        <v>1</v>
      </c>
      <c r="AK15" s="2">
        <v>0.74619999999999997</v>
      </c>
      <c r="AL15" s="2">
        <v>1</v>
      </c>
      <c r="AM15" s="2">
        <v>0.151</v>
      </c>
      <c r="AN15" s="2">
        <v>0.17380000000000001</v>
      </c>
      <c r="AO15" s="2">
        <v>0.17860000000000001</v>
      </c>
      <c r="AP15" s="2">
        <v>0.14949999999999999</v>
      </c>
      <c r="AQ15" s="2">
        <v>0.158</v>
      </c>
      <c r="AR15" s="2">
        <v>0.17480000000000001</v>
      </c>
      <c r="AS15" s="2">
        <v>0.18060000000000001</v>
      </c>
      <c r="AT15" s="2">
        <v>0.17810000000000001</v>
      </c>
      <c r="AU15" s="2">
        <v>0.1928</v>
      </c>
      <c r="AV15" s="2">
        <v>0.15279999999999999</v>
      </c>
      <c r="AW15" s="2">
        <v>8029.8630000000003</v>
      </c>
      <c r="AX15" s="3">
        <v>2</v>
      </c>
      <c r="AY15" s="3">
        <v>2410</v>
      </c>
      <c r="AZ15" s="1" t="s">
        <v>59</v>
      </c>
    </row>
    <row r="16" spans="1:52" x14ac:dyDescent="0.35">
      <c r="A16" s="1" t="b">
        <v>0</v>
      </c>
      <c r="B16" s="1">
        <v>2</v>
      </c>
      <c r="C16" s="1" t="s">
        <v>56</v>
      </c>
      <c r="D16" s="1" t="s">
        <v>51</v>
      </c>
      <c r="E16" s="1" t="s">
        <v>54</v>
      </c>
      <c r="F16" s="1">
        <v>0.1</v>
      </c>
      <c r="G16" s="1">
        <v>1</v>
      </c>
      <c r="H16" s="1">
        <v>100</v>
      </c>
      <c r="I16" s="1">
        <v>10</v>
      </c>
      <c r="J16" s="1">
        <v>50000</v>
      </c>
      <c r="K16" s="2">
        <v>8.9300000000000004E-2</v>
      </c>
      <c r="L16" s="2">
        <v>8.3099999999999993E-2</v>
      </c>
      <c r="M16" s="2">
        <v>1.1000000000000001E-3</v>
      </c>
      <c r="N16" s="2">
        <v>0.63719999999999999</v>
      </c>
      <c r="O16" s="2">
        <v>0.18440000000000001</v>
      </c>
      <c r="P16" s="2">
        <v>0.125</v>
      </c>
      <c r="Q16" s="2">
        <v>4.1999999999999997E-3</v>
      </c>
      <c r="R16" s="2">
        <v>0.9</v>
      </c>
      <c r="S16" s="2">
        <v>0</v>
      </c>
      <c r="T16" s="2">
        <v>0.1018</v>
      </c>
      <c r="U16" s="2">
        <v>0.10340000000000001</v>
      </c>
      <c r="V16" s="2">
        <v>9.3200000000000005E-2</v>
      </c>
      <c r="W16" s="2">
        <v>8.4500000000000006E-2</v>
      </c>
      <c r="X16" s="2">
        <v>9.9699999999999997E-2</v>
      </c>
      <c r="Y16" s="2">
        <v>6.0600000000000001E-2</v>
      </c>
      <c r="Z16" s="2">
        <v>9.0800000000000006E-2</v>
      </c>
      <c r="AA16" s="2">
        <v>7.0900000000000005E-2</v>
      </c>
      <c r="AB16" s="2">
        <v>0.12570000000000001</v>
      </c>
      <c r="AC16" s="2">
        <v>0</v>
      </c>
      <c r="AD16" s="2">
        <v>1</v>
      </c>
      <c r="AE16" s="2">
        <v>0.48559999999999998</v>
      </c>
      <c r="AF16" s="2">
        <v>1</v>
      </c>
      <c r="AG16" s="2">
        <v>1</v>
      </c>
      <c r="AH16" s="2">
        <v>0.88839999999999997</v>
      </c>
      <c r="AI16" s="2">
        <v>2.64E-2</v>
      </c>
      <c r="AJ16" s="2">
        <v>0.93659999999999999</v>
      </c>
      <c r="AK16" s="2">
        <v>1</v>
      </c>
      <c r="AL16" s="2">
        <v>3.5000000000000003E-2</v>
      </c>
      <c r="AM16" s="2">
        <v>0</v>
      </c>
      <c r="AN16" s="2">
        <v>0.18479999999999999</v>
      </c>
      <c r="AO16" s="2">
        <v>0.17050000000000001</v>
      </c>
      <c r="AP16" s="2">
        <v>0.1704</v>
      </c>
      <c r="AQ16" s="2">
        <v>0.15579999999999999</v>
      </c>
      <c r="AR16" s="2">
        <v>0.17929999999999999</v>
      </c>
      <c r="AS16" s="2">
        <v>3.6799999999999999E-2</v>
      </c>
      <c r="AT16" s="2">
        <v>0.16550000000000001</v>
      </c>
      <c r="AU16" s="2">
        <v>0.13239999999999999</v>
      </c>
      <c r="AV16" s="2">
        <v>5.4800000000000001E-2</v>
      </c>
      <c r="AW16" s="2">
        <v>10546.771000000001</v>
      </c>
      <c r="AX16" s="3">
        <v>2</v>
      </c>
      <c r="AY16" s="3">
        <v>4458</v>
      </c>
      <c r="AZ16" s="1" t="s">
        <v>60</v>
      </c>
    </row>
    <row r="17" spans="1:52" x14ac:dyDescent="0.35">
      <c r="A17" s="1" t="b">
        <v>0</v>
      </c>
      <c r="B17" s="1">
        <v>2</v>
      </c>
      <c r="C17" s="1" t="s">
        <v>56</v>
      </c>
      <c r="D17" s="1" t="s">
        <v>56</v>
      </c>
      <c r="E17" s="1" t="s">
        <v>52</v>
      </c>
      <c r="F17" s="1">
        <v>0.1</v>
      </c>
      <c r="G17" s="1">
        <v>1</v>
      </c>
      <c r="H17" s="1">
        <v>100</v>
      </c>
      <c r="I17" s="1">
        <v>10</v>
      </c>
      <c r="J17" s="1">
        <v>50000</v>
      </c>
      <c r="K17" s="2">
        <v>9.5000000000000001E-2</v>
      </c>
      <c r="L17" s="2">
        <v>9.35E-2</v>
      </c>
      <c r="M17" s="2">
        <v>1E-4</v>
      </c>
      <c r="N17" s="2">
        <v>0.67510000000000003</v>
      </c>
      <c r="O17" s="2">
        <v>9.4399999999999998E-2</v>
      </c>
      <c r="P17" s="2">
        <v>0.15770000000000001</v>
      </c>
      <c r="Q17" s="2">
        <v>6.9999999999999999E-4</v>
      </c>
      <c r="R17" s="2">
        <v>1</v>
      </c>
      <c r="S17" s="2">
        <v>0.1016</v>
      </c>
      <c r="T17" s="2">
        <v>8.8499999999999995E-2</v>
      </c>
      <c r="U17" s="2">
        <v>8.4500000000000006E-2</v>
      </c>
      <c r="V17" s="2">
        <v>0.10390000000000001</v>
      </c>
      <c r="W17" s="2">
        <v>9.2100000000000001E-2</v>
      </c>
      <c r="X17" s="2">
        <v>0.1099</v>
      </c>
      <c r="Y17" s="2">
        <v>9.5000000000000001E-2</v>
      </c>
      <c r="Z17" s="2">
        <v>8.5599999999999996E-2</v>
      </c>
      <c r="AA17" s="2">
        <v>8.8400000000000006E-2</v>
      </c>
      <c r="AB17" s="2">
        <v>8.5999999999999993E-2</v>
      </c>
      <c r="AC17" s="2">
        <v>1</v>
      </c>
      <c r="AD17" s="2">
        <v>0.77300000000000002</v>
      </c>
      <c r="AE17" s="2">
        <v>0.1018</v>
      </c>
      <c r="AF17" s="2">
        <v>0.46760000000000002</v>
      </c>
      <c r="AG17" s="2">
        <v>0.41460000000000002</v>
      </c>
      <c r="AH17" s="2">
        <v>0.66439999999999999</v>
      </c>
      <c r="AI17" s="2">
        <v>1</v>
      </c>
      <c r="AJ17" s="2">
        <v>0.36699999999999999</v>
      </c>
      <c r="AK17" s="2">
        <v>1</v>
      </c>
      <c r="AL17" s="2">
        <v>0.96299999999999997</v>
      </c>
      <c r="AM17" s="2">
        <v>0.18440000000000001</v>
      </c>
      <c r="AN17" s="2">
        <v>0.1588</v>
      </c>
      <c r="AO17" s="2">
        <v>9.2299999999999993E-2</v>
      </c>
      <c r="AP17" s="2">
        <v>0.1701</v>
      </c>
      <c r="AQ17" s="2">
        <v>0.15079999999999999</v>
      </c>
      <c r="AR17" s="2">
        <v>0.18859999999999999</v>
      </c>
      <c r="AS17" s="2">
        <v>0.17349999999999999</v>
      </c>
      <c r="AT17" s="2">
        <v>0.13880000000000001</v>
      </c>
      <c r="AU17" s="2">
        <v>0.16239999999999999</v>
      </c>
      <c r="AV17" s="2">
        <v>0.15790000000000001</v>
      </c>
      <c r="AW17" s="2">
        <v>286.76600000000002</v>
      </c>
      <c r="AX17" s="3">
        <v>2</v>
      </c>
      <c r="AY17" s="3">
        <v>367</v>
      </c>
      <c r="AZ17" s="1" t="s">
        <v>61</v>
      </c>
    </row>
    <row r="18" spans="1:52" x14ac:dyDescent="0.35">
      <c r="A18" s="1" t="b">
        <v>0</v>
      </c>
      <c r="B18" s="1">
        <v>2</v>
      </c>
      <c r="C18" s="1" t="s">
        <v>56</v>
      </c>
      <c r="D18" s="1" t="s">
        <v>56</v>
      </c>
      <c r="E18" s="1" t="s">
        <v>54</v>
      </c>
      <c r="F18" s="1">
        <v>0.1</v>
      </c>
      <c r="G18" s="1">
        <v>1</v>
      </c>
      <c r="H18" s="1">
        <v>100</v>
      </c>
      <c r="I18" s="1">
        <v>10</v>
      </c>
      <c r="J18" s="1">
        <v>50000</v>
      </c>
      <c r="K18" s="2">
        <v>9.7000000000000003E-2</v>
      </c>
      <c r="L18" s="2">
        <v>9.8599999999999993E-2</v>
      </c>
      <c r="M18" s="2">
        <v>4.0000000000000002E-4</v>
      </c>
      <c r="N18" s="2">
        <v>0.62819999999999998</v>
      </c>
      <c r="O18" s="2">
        <v>6.3299999999999995E-2</v>
      </c>
      <c r="P18" s="2">
        <v>0.1663</v>
      </c>
      <c r="Q18" s="2">
        <v>6.9999999999999999E-4</v>
      </c>
      <c r="R18" s="2">
        <v>1</v>
      </c>
      <c r="S18" s="2">
        <v>0.1024</v>
      </c>
      <c r="T18" s="2">
        <v>9.8900000000000002E-2</v>
      </c>
      <c r="U18" s="2">
        <v>9.0399999999999994E-2</v>
      </c>
      <c r="V18" s="2">
        <v>0.10539999999999999</v>
      </c>
      <c r="W18" s="2">
        <v>7.9100000000000004E-2</v>
      </c>
      <c r="X18" s="2">
        <v>9.8299999999999998E-2</v>
      </c>
      <c r="Y18" s="2">
        <v>9.9699999999999997E-2</v>
      </c>
      <c r="Z18" s="2">
        <v>8.7099999999999997E-2</v>
      </c>
      <c r="AA18" s="2">
        <v>0.1507</v>
      </c>
      <c r="AB18" s="2">
        <v>7.4200000000000002E-2</v>
      </c>
      <c r="AC18" s="2">
        <v>1</v>
      </c>
      <c r="AD18" s="2">
        <v>0.40260000000000001</v>
      </c>
      <c r="AE18" s="2">
        <v>0.38279999999999997</v>
      </c>
      <c r="AF18" s="2">
        <v>0.53500000000000003</v>
      </c>
      <c r="AG18" s="2">
        <v>0.40439999999999998</v>
      </c>
      <c r="AH18" s="2">
        <v>0.45979999999999999</v>
      </c>
      <c r="AI18" s="2">
        <v>1</v>
      </c>
      <c r="AJ18" s="2">
        <v>0.61080000000000001</v>
      </c>
      <c r="AK18" s="2">
        <v>0.48699999999999999</v>
      </c>
      <c r="AL18" s="2">
        <v>1</v>
      </c>
      <c r="AM18" s="2">
        <v>0.1857</v>
      </c>
      <c r="AN18" s="2">
        <v>0.15870000000000001</v>
      </c>
      <c r="AO18" s="2">
        <v>0.1462</v>
      </c>
      <c r="AP18" s="2">
        <v>0.17610000000000001</v>
      </c>
      <c r="AQ18" s="2">
        <v>0.13239999999999999</v>
      </c>
      <c r="AR18" s="2">
        <v>0.16200000000000001</v>
      </c>
      <c r="AS18" s="2">
        <v>0.18140000000000001</v>
      </c>
      <c r="AT18" s="2">
        <v>0.1525</v>
      </c>
      <c r="AU18" s="2">
        <v>0.23019999999999999</v>
      </c>
      <c r="AV18" s="2">
        <v>0.13819999999999999</v>
      </c>
      <c r="AW18" s="2">
        <v>10385.569</v>
      </c>
      <c r="AX18" s="3">
        <v>2</v>
      </c>
      <c r="AY18" s="3">
        <v>4101</v>
      </c>
      <c r="AZ18" s="1" t="s">
        <v>62</v>
      </c>
    </row>
    <row r="19" spans="1:52" x14ac:dyDescent="0.35">
      <c r="A19" s="1" t="b">
        <v>0</v>
      </c>
      <c r="B19" s="1">
        <v>3</v>
      </c>
      <c r="C19" s="1" t="s">
        <v>56</v>
      </c>
      <c r="D19" s="1" t="s">
        <v>51</v>
      </c>
      <c r="E19" s="1" t="s">
        <v>52</v>
      </c>
      <c r="F19" s="1">
        <v>0.1</v>
      </c>
      <c r="G19" s="1">
        <v>1</v>
      </c>
      <c r="H19" s="1">
        <v>100</v>
      </c>
      <c r="I19" s="1">
        <v>10</v>
      </c>
      <c r="J19" s="1">
        <v>50000</v>
      </c>
      <c r="K19" s="2">
        <v>8.7099999999999997E-2</v>
      </c>
      <c r="L19" s="2">
        <v>9.3899999999999997E-2</v>
      </c>
      <c r="M19" s="2">
        <v>5.9999999999999995E-4</v>
      </c>
      <c r="N19" s="2">
        <v>0.80959999999999999</v>
      </c>
      <c r="O19" s="2">
        <v>4.6399999999999997E-2</v>
      </c>
      <c r="P19" s="2">
        <v>0.16239999999999999</v>
      </c>
      <c r="Q19" s="2">
        <v>1E-3</v>
      </c>
      <c r="R19" s="2">
        <v>1</v>
      </c>
      <c r="S19" s="2">
        <v>0.1111</v>
      </c>
      <c r="T19" s="2">
        <v>0.1431</v>
      </c>
      <c r="U19" s="2">
        <v>8.5900000000000004E-2</v>
      </c>
      <c r="V19" s="2">
        <v>0.1137</v>
      </c>
      <c r="W19" s="2">
        <v>8.4699999999999998E-2</v>
      </c>
      <c r="X19" s="2">
        <v>0.11700000000000001</v>
      </c>
      <c r="Y19" s="2">
        <v>7.9000000000000001E-2</v>
      </c>
      <c r="Z19" s="2">
        <v>8.0399999999999999E-2</v>
      </c>
      <c r="AA19" s="2">
        <v>5.67E-2</v>
      </c>
      <c r="AB19" s="2">
        <v>6.7400000000000002E-2</v>
      </c>
      <c r="AC19" s="2">
        <v>0.8982</v>
      </c>
      <c r="AD19" s="2">
        <v>0.3004</v>
      </c>
      <c r="AE19" s="2">
        <v>1</v>
      </c>
      <c r="AF19" s="2">
        <v>0.76839999999999997</v>
      </c>
      <c r="AG19" s="2">
        <v>0.81940000000000002</v>
      </c>
      <c r="AH19" s="2">
        <v>0.68400000000000005</v>
      </c>
      <c r="AI19" s="2">
        <v>0.62560000000000004</v>
      </c>
      <c r="AJ19" s="2">
        <v>1</v>
      </c>
      <c r="AK19" s="2">
        <v>1</v>
      </c>
      <c r="AL19" s="2">
        <v>1</v>
      </c>
      <c r="AM19" s="2">
        <v>0.1978</v>
      </c>
      <c r="AN19" s="2">
        <v>0.19389999999999999</v>
      </c>
      <c r="AO19" s="2">
        <v>0.1583</v>
      </c>
      <c r="AP19" s="2">
        <v>0.19819999999999999</v>
      </c>
      <c r="AQ19" s="2">
        <v>0.1535</v>
      </c>
      <c r="AR19" s="2">
        <v>0.19980000000000001</v>
      </c>
      <c r="AS19" s="2">
        <v>0.14019999999999999</v>
      </c>
      <c r="AT19" s="2">
        <v>0.14879999999999999</v>
      </c>
      <c r="AU19" s="2">
        <v>0.10730000000000001</v>
      </c>
      <c r="AV19" s="2">
        <v>0.1263</v>
      </c>
      <c r="AW19" s="2">
        <v>16072.243</v>
      </c>
      <c r="AX19" s="3">
        <v>3</v>
      </c>
      <c r="AY19" s="3">
        <v>4458</v>
      </c>
      <c r="AZ19" s="1" t="s">
        <v>59</v>
      </c>
    </row>
    <row r="20" spans="1:52" x14ac:dyDescent="0.35">
      <c r="A20" s="1" t="b">
        <v>0</v>
      </c>
      <c r="B20" s="1">
        <v>3</v>
      </c>
      <c r="C20" s="1" t="s">
        <v>56</v>
      </c>
      <c r="D20" s="1" t="s">
        <v>51</v>
      </c>
      <c r="E20" s="1" t="s">
        <v>54</v>
      </c>
      <c r="F20" s="1">
        <v>0.1</v>
      </c>
      <c r="G20" s="1">
        <v>1</v>
      </c>
      <c r="H20" s="1">
        <v>100</v>
      </c>
      <c r="I20" s="1">
        <v>10</v>
      </c>
      <c r="J20" s="1">
        <v>50000</v>
      </c>
      <c r="K20" s="2">
        <v>9.6100000000000005E-2</v>
      </c>
      <c r="L20" s="2">
        <v>8.3299999999999999E-2</v>
      </c>
      <c r="M20" s="2">
        <v>1.4E-3</v>
      </c>
      <c r="N20" s="2">
        <v>0.72070000000000001</v>
      </c>
      <c r="O20" s="2">
        <v>0.14130000000000001</v>
      </c>
      <c r="P20" s="2">
        <v>0.14499999999999999</v>
      </c>
      <c r="Q20" s="2">
        <v>4.1999999999999997E-3</v>
      </c>
      <c r="R20" s="2">
        <v>0.9</v>
      </c>
      <c r="S20" s="2">
        <v>4.5600000000000002E-2</v>
      </c>
      <c r="T20" s="2">
        <v>9.6199999999999994E-2</v>
      </c>
      <c r="U20" s="2">
        <v>0</v>
      </c>
      <c r="V20" s="2">
        <v>0.1031</v>
      </c>
      <c r="W20" s="2">
        <v>9.7500000000000003E-2</v>
      </c>
      <c r="X20" s="2">
        <v>0.14729999999999999</v>
      </c>
      <c r="Y20" s="2">
        <v>7.0800000000000002E-2</v>
      </c>
      <c r="Z20" s="2">
        <v>9.7100000000000006E-2</v>
      </c>
      <c r="AA20" s="2">
        <v>7.8399999999999997E-2</v>
      </c>
      <c r="AB20" s="2">
        <v>9.7500000000000003E-2</v>
      </c>
      <c r="AC20" s="2">
        <v>7.0199999999999999E-2</v>
      </c>
      <c r="AD20" s="2">
        <v>1</v>
      </c>
      <c r="AE20" s="2">
        <v>0</v>
      </c>
      <c r="AF20" s="2">
        <v>1</v>
      </c>
      <c r="AG20" s="2">
        <v>1</v>
      </c>
      <c r="AH20" s="2">
        <v>0.49559999999999998</v>
      </c>
      <c r="AI20" s="2">
        <v>0.75119999999999998</v>
      </c>
      <c r="AJ20" s="2">
        <v>0.88959999999999995</v>
      </c>
      <c r="AK20" s="2">
        <v>1</v>
      </c>
      <c r="AL20" s="2">
        <v>1</v>
      </c>
      <c r="AM20" s="2">
        <v>5.5300000000000002E-2</v>
      </c>
      <c r="AN20" s="2">
        <v>0.17549999999999999</v>
      </c>
      <c r="AO20" s="2">
        <v>0</v>
      </c>
      <c r="AP20" s="2">
        <v>0.18690000000000001</v>
      </c>
      <c r="AQ20" s="2">
        <v>0.17760000000000001</v>
      </c>
      <c r="AR20" s="2">
        <v>0.2271</v>
      </c>
      <c r="AS20" s="2">
        <v>0.12939999999999999</v>
      </c>
      <c r="AT20" s="2">
        <v>0.17510000000000001</v>
      </c>
      <c r="AU20" s="2">
        <v>0.1454</v>
      </c>
      <c r="AV20" s="2">
        <v>0.1777</v>
      </c>
      <c r="AW20" s="2">
        <v>18628.150000000001</v>
      </c>
      <c r="AX20" s="3">
        <v>3</v>
      </c>
      <c r="AY20" s="3">
        <v>6506</v>
      </c>
      <c r="AZ20" s="1" t="s">
        <v>60</v>
      </c>
    </row>
    <row r="21" spans="1:52" x14ac:dyDescent="0.35">
      <c r="A21" s="1" t="b">
        <v>0</v>
      </c>
      <c r="B21" s="1">
        <v>3</v>
      </c>
      <c r="C21" s="1" t="s">
        <v>56</v>
      </c>
      <c r="D21" s="1" t="s">
        <v>56</v>
      </c>
      <c r="E21" s="1" t="s">
        <v>52</v>
      </c>
      <c r="F21" s="1">
        <v>0.1</v>
      </c>
      <c r="G21" s="1">
        <v>1</v>
      </c>
      <c r="H21" s="1">
        <v>100</v>
      </c>
      <c r="I21" s="1">
        <v>10</v>
      </c>
      <c r="J21" s="1">
        <v>50000</v>
      </c>
      <c r="K21" s="2">
        <v>9.6000000000000002E-2</v>
      </c>
      <c r="L21" s="2">
        <v>0.10009999999999999</v>
      </c>
      <c r="M21" s="2">
        <v>1E-4</v>
      </c>
      <c r="N21" s="2">
        <v>0.75119999999999998</v>
      </c>
      <c r="O21" s="2">
        <v>5.8999999999999997E-2</v>
      </c>
      <c r="P21" s="2">
        <v>0.1731</v>
      </c>
      <c r="Q21" s="2">
        <v>2.0000000000000001E-4</v>
      </c>
      <c r="R21" s="2">
        <v>1</v>
      </c>
      <c r="S21" s="2">
        <v>8.3500000000000005E-2</v>
      </c>
      <c r="T21" s="2">
        <v>0.1157</v>
      </c>
      <c r="U21" s="2">
        <v>9.6000000000000002E-2</v>
      </c>
      <c r="V21" s="2">
        <v>0.1128</v>
      </c>
      <c r="W21" s="2">
        <v>0.1118</v>
      </c>
      <c r="X21" s="2">
        <v>0.1053</v>
      </c>
      <c r="Y21" s="2">
        <v>8.1799999999999998E-2</v>
      </c>
      <c r="Z21" s="2">
        <v>0.10929999999999999</v>
      </c>
      <c r="AA21" s="2">
        <v>9.3399999999999997E-2</v>
      </c>
      <c r="AB21" s="2">
        <v>9.1200000000000003E-2</v>
      </c>
      <c r="AC21" s="2">
        <v>1</v>
      </c>
      <c r="AD21" s="2">
        <v>0.42</v>
      </c>
      <c r="AE21" s="2">
        <v>0.44359999999999999</v>
      </c>
      <c r="AF21" s="2">
        <v>0.47339999999999999</v>
      </c>
      <c r="AG21" s="2">
        <v>1</v>
      </c>
      <c r="AH21" s="2">
        <v>0.75760000000000005</v>
      </c>
      <c r="AI21" s="2">
        <v>1</v>
      </c>
      <c r="AJ21" s="2">
        <v>0.53979999999999995</v>
      </c>
      <c r="AK21" s="2">
        <v>0.87780000000000002</v>
      </c>
      <c r="AL21" s="2">
        <v>1</v>
      </c>
      <c r="AM21" s="2">
        <v>0.1542</v>
      </c>
      <c r="AN21" s="2">
        <v>0.18140000000000001</v>
      </c>
      <c r="AO21" s="2">
        <v>0.15790000000000001</v>
      </c>
      <c r="AP21" s="2">
        <v>0.1822</v>
      </c>
      <c r="AQ21" s="2">
        <v>0.2011</v>
      </c>
      <c r="AR21" s="2">
        <v>0.185</v>
      </c>
      <c r="AS21" s="2">
        <v>0.1512</v>
      </c>
      <c r="AT21" s="2">
        <v>0.18179999999999999</v>
      </c>
      <c r="AU21" s="2">
        <v>0.16889999999999999</v>
      </c>
      <c r="AV21" s="2">
        <v>0.1671</v>
      </c>
      <c r="AW21" s="2">
        <v>396.40800000000002</v>
      </c>
      <c r="AX21" s="3">
        <v>3</v>
      </c>
      <c r="AY21" s="3">
        <v>372</v>
      </c>
      <c r="AZ21" s="1" t="s">
        <v>61</v>
      </c>
    </row>
    <row r="22" spans="1:52" x14ac:dyDescent="0.35">
      <c r="A22" s="1" t="b">
        <v>0</v>
      </c>
      <c r="B22" s="1">
        <v>3</v>
      </c>
      <c r="C22" s="1" t="s">
        <v>56</v>
      </c>
      <c r="D22" s="1" t="s">
        <v>56</v>
      </c>
      <c r="E22" s="1" t="s">
        <v>54</v>
      </c>
      <c r="F22" s="1">
        <v>0.1</v>
      </c>
      <c r="G22" s="1">
        <v>1</v>
      </c>
      <c r="H22" s="1">
        <v>100</v>
      </c>
      <c r="I22" s="1">
        <v>10</v>
      </c>
      <c r="J22" s="1">
        <v>50000</v>
      </c>
      <c r="K22" s="2">
        <v>8.2799999999999999E-2</v>
      </c>
      <c r="L22" s="2">
        <v>7.7100000000000002E-2</v>
      </c>
      <c r="M22" s="2">
        <v>2.5000000000000001E-3</v>
      </c>
      <c r="N22" s="2">
        <v>0.65569999999999995</v>
      </c>
      <c r="O22" s="2">
        <v>0.18770000000000001</v>
      </c>
      <c r="P22" s="2">
        <v>0.1101</v>
      </c>
      <c r="Q22" s="2">
        <v>6.3E-3</v>
      </c>
      <c r="R22" s="2">
        <v>0.8</v>
      </c>
      <c r="S22" s="2">
        <v>4.3999999999999997E-2</v>
      </c>
      <c r="T22" s="2">
        <v>0.1004</v>
      </c>
      <c r="U22" s="2">
        <v>0.1123</v>
      </c>
      <c r="V22" s="2">
        <v>0.16669999999999999</v>
      </c>
      <c r="W22" s="2">
        <v>0</v>
      </c>
      <c r="X22" s="2">
        <v>0.1171</v>
      </c>
      <c r="Y22" s="2">
        <v>6.8500000000000005E-2</v>
      </c>
      <c r="Z22" s="2">
        <v>0</v>
      </c>
      <c r="AA22" s="2">
        <v>6.59E-2</v>
      </c>
      <c r="AB22" s="2">
        <v>9.6600000000000005E-2</v>
      </c>
      <c r="AC22" s="2">
        <v>1</v>
      </c>
      <c r="AD22" s="2">
        <v>1</v>
      </c>
      <c r="AE22" s="2">
        <v>0.82599999999999996</v>
      </c>
      <c r="AF22" s="2">
        <v>2.3999999999999998E-3</v>
      </c>
      <c r="AG22" s="2">
        <v>0</v>
      </c>
      <c r="AH22" s="2">
        <v>0.87980000000000003</v>
      </c>
      <c r="AI22" s="2">
        <v>1</v>
      </c>
      <c r="AJ22" s="2">
        <v>0</v>
      </c>
      <c r="AK22" s="2">
        <v>1</v>
      </c>
      <c r="AL22" s="2">
        <v>0.84899999999999998</v>
      </c>
      <c r="AM22" s="2">
        <v>8.4199999999999997E-2</v>
      </c>
      <c r="AN22" s="2">
        <v>0.1825</v>
      </c>
      <c r="AO22" s="2">
        <v>0.1978</v>
      </c>
      <c r="AP22" s="2">
        <v>4.7000000000000002E-3</v>
      </c>
      <c r="AQ22" s="2">
        <v>0</v>
      </c>
      <c r="AR22" s="2">
        <v>0.20660000000000001</v>
      </c>
      <c r="AS22" s="2">
        <v>0.12809999999999999</v>
      </c>
      <c r="AT22" s="2">
        <v>0</v>
      </c>
      <c r="AU22" s="2">
        <v>0.1237</v>
      </c>
      <c r="AV22" s="2">
        <v>0.1734</v>
      </c>
      <c r="AW22" s="2">
        <v>10685.083000000001</v>
      </c>
      <c r="AX22" s="3">
        <v>3</v>
      </c>
      <c r="AY22" s="3">
        <v>4463</v>
      </c>
      <c r="AZ22" s="1" t="s">
        <v>62</v>
      </c>
    </row>
    <row r="23" spans="1:52" x14ac:dyDescent="0.35">
      <c r="A23" s="1" t="b">
        <v>0</v>
      </c>
      <c r="B23" s="1">
        <v>5</v>
      </c>
      <c r="C23" s="1" t="s">
        <v>56</v>
      </c>
      <c r="D23" s="1" t="s">
        <v>51</v>
      </c>
      <c r="E23" s="1" t="s">
        <v>52</v>
      </c>
      <c r="F23" s="1">
        <v>0.1</v>
      </c>
      <c r="G23" s="1">
        <v>1</v>
      </c>
      <c r="H23" s="1">
        <v>100</v>
      </c>
      <c r="I23" s="1">
        <v>10</v>
      </c>
      <c r="J23" s="1">
        <v>50000</v>
      </c>
      <c r="K23" s="2">
        <v>7.3999999999999996E-2</v>
      </c>
      <c r="L23" s="2">
        <v>8.0199999999999994E-2</v>
      </c>
      <c r="M23" s="2">
        <v>5.0000000000000001E-4</v>
      </c>
      <c r="N23" s="2">
        <v>0.86619999999999997</v>
      </c>
      <c r="O23" s="2">
        <v>3.0300000000000001E-2</v>
      </c>
      <c r="P23" s="2">
        <v>0.14419999999999999</v>
      </c>
      <c r="Q23" s="2">
        <v>1.1000000000000001E-3</v>
      </c>
      <c r="R23" s="2">
        <v>1</v>
      </c>
      <c r="S23" s="2">
        <v>4.5900000000000003E-2</v>
      </c>
      <c r="T23" s="2">
        <v>0.1114</v>
      </c>
      <c r="U23" s="2">
        <v>8.9700000000000002E-2</v>
      </c>
      <c r="V23" s="2">
        <v>0.1037</v>
      </c>
      <c r="W23" s="2">
        <v>8.0600000000000005E-2</v>
      </c>
      <c r="X23" s="2">
        <v>9.2100000000000001E-2</v>
      </c>
      <c r="Y23" s="2">
        <v>5.8299999999999998E-2</v>
      </c>
      <c r="Z23" s="2">
        <v>0.1004</v>
      </c>
      <c r="AA23" s="2">
        <v>5.5599999999999997E-2</v>
      </c>
      <c r="AB23" s="2">
        <v>6.4299999999999996E-2</v>
      </c>
      <c r="AC23" s="2">
        <v>1</v>
      </c>
      <c r="AD23" s="2">
        <v>0.75219999999999998</v>
      </c>
      <c r="AE23" s="2">
        <v>1</v>
      </c>
      <c r="AF23" s="2">
        <v>0.46460000000000001</v>
      </c>
      <c r="AG23" s="2">
        <v>0.93340000000000001</v>
      </c>
      <c r="AH23" s="2">
        <v>0.87039999999999995</v>
      </c>
      <c r="AI23" s="2">
        <v>1</v>
      </c>
      <c r="AJ23" s="2">
        <v>0.66559999999999997</v>
      </c>
      <c r="AK23" s="2">
        <v>1</v>
      </c>
      <c r="AL23" s="2">
        <v>0.97599999999999998</v>
      </c>
      <c r="AM23" s="2">
        <v>8.7900000000000006E-2</v>
      </c>
      <c r="AN23" s="2">
        <v>0.19409999999999999</v>
      </c>
      <c r="AO23" s="2">
        <v>0.16470000000000001</v>
      </c>
      <c r="AP23" s="2">
        <v>0.1696</v>
      </c>
      <c r="AQ23" s="2">
        <v>0.14829999999999999</v>
      </c>
      <c r="AR23" s="2">
        <v>0.1666</v>
      </c>
      <c r="AS23" s="2">
        <v>0.1101</v>
      </c>
      <c r="AT23" s="2">
        <v>0.1744</v>
      </c>
      <c r="AU23" s="2">
        <v>0.1053</v>
      </c>
      <c r="AV23" s="2">
        <v>0.1207</v>
      </c>
      <c r="AW23" s="2">
        <v>32571.393</v>
      </c>
      <c r="AX23" s="3">
        <v>5</v>
      </c>
      <c r="AY23" s="3">
        <v>8554</v>
      </c>
      <c r="AZ23" s="1" t="s">
        <v>59</v>
      </c>
    </row>
    <row r="24" spans="1:52" x14ac:dyDescent="0.35">
      <c r="A24" s="1" t="b">
        <v>0</v>
      </c>
      <c r="B24" s="1">
        <v>5</v>
      </c>
      <c r="C24" s="1" t="s">
        <v>56</v>
      </c>
      <c r="D24" s="1" t="s">
        <v>51</v>
      </c>
      <c r="E24" s="1" t="s">
        <v>54</v>
      </c>
      <c r="F24" s="1">
        <v>0.1</v>
      </c>
      <c r="G24" s="1">
        <v>1</v>
      </c>
      <c r="H24" s="1">
        <v>100</v>
      </c>
      <c r="I24" s="1">
        <v>10</v>
      </c>
      <c r="J24" s="1">
        <v>50000</v>
      </c>
      <c r="K24" s="2">
        <v>6.9500000000000006E-2</v>
      </c>
      <c r="L24" s="2">
        <v>6.59E-2</v>
      </c>
      <c r="M24" s="2">
        <v>1.1999999999999999E-3</v>
      </c>
      <c r="N24" s="2">
        <v>0.63580000000000003</v>
      </c>
      <c r="O24" s="2">
        <v>0.1749</v>
      </c>
      <c r="P24" s="2">
        <v>0.1149</v>
      </c>
      <c r="Q24" s="2">
        <v>3.8E-3</v>
      </c>
      <c r="R24" s="2">
        <v>0.9</v>
      </c>
      <c r="S24" s="2">
        <v>4.1200000000000001E-2</v>
      </c>
      <c r="T24" s="2">
        <v>0</v>
      </c>
      <c r="U24" s="2">
        <v>8.4400000000000003E-2</v>
      </c>
      <c r="V24" s="2">
        <v>5.9700000000000003E-2</v>
      </c>
      <c r="W24" s="2">
        <v>8.9499999999999996E-2</v>
      </c>
      <c r="X24" s="2">
        <v>7.7499999999999999E-2</v>
      </c>
      <c r="Y24" s="2">
        <v>6.0400000000000002E-2</v>
      </c>
      <c r="Z24" s="2">
        <v>9.9500000000000005E-2</v>
      </c>
      <c r="AA24" s="2">
        <v>0.1208</v>
      </c>
      <c r="AB24" s="2">
        <v>2.5600000000000001E-2</v>
      </c>
      <c r="AC24" s="2">
        <v>1</v>
      </c>
      <c r="AD24" s="2">
        <v>0</v>
      </c>
      <c r="AE24" s="2">
        <v>0.22520000000000001</v>
      </c>
      <c r="AF24" s="2">
        <v>0.21759999999999999</v>
      </c>
      <c r="AG24" s="2">
        <v>1</v>
      </c>
      <c r="AH24" s="2">
        <v>1</v>
      </c>
      <c r="AI24" s="2">
        <v>1</v>
      </c>
      <c r="AJ24" s="2">
        <v>0.93300000000000005</v>
      </c>
      <c r="AK24" s="2">
        <v>0.90400000000000003</v>
      </c>
      <c r="AL24" s="2">
        <v>7.8200000000000006E-2</v>
      </c>
      <c r="AM24" s="2">
        <v>7.9200000000000007E-2</v>
      </c>
      <c r="AN24" s="2">
        <v>0</v>
      </c>
      <c r="AO24" s="2">
        <v>0.12280000000000001</v>
      </c>
      <c r="AP24" s="2">
        <v>9.3700000000000006E-2</v>
      </c>
      <c r="AQ24" s="2">
        <v>0.16420000000000001</v>
      </c>
      <c r="AR24" s="2">
        <v>0.1439</v>
      </c>
      <c r="AS24" s="2">
        <v>0.1139</v>
      </c>
      <c r="AT24" s="2">
        <v>0.17979999999999999</v>
      </c>
      <c r="AU24" s="2">
        <v>0.21310000000000001</v>
      </c>
      <c r="AV24" s="2">
        <v>3.85E-2</v>
      </c>
      <c r="AW24" s="2">
        <v>34681.470999999998</v>
      </c>
      <c r="AX24" s="3">
        <v>5</v>
      </c>
      <c r="AY24" s="3">
        <v>10602</v>
      </c>
      <c r="AZ24" s="1" t="s">
        <v>60</v>
      </c>
    </row>
    <row r="25" spans="1:52" x14ac:dyDescent="0.35">
      <c r="A25" s="1" t="b">
        <v>0</v>
      </c>
      <c r="B25" s="1">
        <v>5</v>
      </c>
      <c r="C25" s="1" t="s">
        <v>56</v>
      </c>
      <c r="D25" s="1" t="s">
        <v>56</v>
      </c>
      <c r="E25" s="1" t="s">
        <v>52</v>
      </c>
      <c r="F25" s="1">
        <v>0.1</v>
      </c>
      <c r="G25" s="1">
        <v>1</v>
      </c>
      <c r="H25" s="1">
        <v>100</v>
      </c>
      <c r="I25" s="1">
        <v>10</v>
      </c>
      <c r="J25" s="1">
        <v>50000</v>
      </c>
      <c r="K25" s="2">
        <v>9.9000000000000005E-2</v>
      </c>
      <c r="L25" s="2">
        <v>9.0700000000000003E-2</v>
      </c>
      <c r="M25" s="2">
        <v>6.9999999999999999E-4</v>
      </c>
      <c r="N25" s="2">
        <v>0.52070000000000005</v>
      </c>
      <c r="O25" s="2">
        <v>0.16800000000000001</v>
      </c>
      <c r="P25" s="2">
        <v>0.1338</v>
      </c>
      <c r="Q25" s="2">
        <v>2.5999999999999999E-3</v>
      </c>
      <c r="R25" s="2">
        <v>1</v>
      </c>
      <c r="S25" s="2">
        <v>5.9900000000000002E-2</v>
      </c>
      <c r="T25" s="2">
        <v>0.1179</v>
      </c>
      <c r="U25" s="2">
        <v>9.4899999999999998E-2</v>
      </c>
      <c r="V25" s="2">
        <v>0.1018</v>
      </c>
      <c r="W25" s="2">
        <v>0.1017</v>
      </c>
      <c r="X25" s="2">
        <v>0.1202</v>
      </c>
      <c r="Y25" s="2">
        <v>7.9399999999999998E-2</v>
      </c>
      <c r="Z25" s="2">
        <v>0.1018</v>
      </c>
      <c r="AA25" s="2">
        <v>3.1899999999999998E-2</v>
      </c>
      <c r="AB25" s="2">
        <v>9.7600000000000006E-2</v>
      </c>
      <c r="AC25" s="2">
        <v>0.1802</v>
      </c>
      <c r="AD25" s="2">
        <v>0.1052</v>
      </c>
      <c r="AE25" s="2">
        <v>0.3836</v>
      </c>
      <c r="AF25" s="2">
        <v>1</v>
      </c>
      <c r="AG25" s="2">
        <v>1</v>
      </c>
      <c r="AH25" s="2">
        <v>7.8200000000000006E-2</v>
      </c>
      <c r="AI25" s="2">
        <v>0.44080000000000003</v>
      </c>
      <c r="AJ25" s="2">
        <v>1</v>
      </c>
      <c r="AK25" s="2">
        <v>1.8800000000000001E-2</v>
      </c>
      <c r="AL25" s="2">
        <v>1</v>
      </c>
      <c r="AM25" s="2">
        <v>0.09</v>
      </c>
      <c r="AN25" s="2">
        <v>0.11119999999999999</v>
      </c>
      <c r="AO25" s="2">
        <v>0.15210000000000001</v>
      </c>
      <c r="AP25" s="2">
        <v>0.1847</v>
      </c>
      <c r="AQ25" s="2">
        <v>0.18459999999999999</v>
      </c>
      <c r="AR25" s="2">
        <v>9.4799999999999995E-2</v>
      </c>
      <c r="AS25" s="2">
        <v>0.1346</v>
      </c>
      <c r="AT25" s="2">
        <v>0.18479999999999999</v>
      </c>
      <c r="AU25" s="2">
        <v>2.3699999999999999E-2</v>
      </c>
      <c r="AV25" s="2">
        <v>0.1779</v>
      </c>
      <c r="AW25" s="2">
        <v>8638.9740000000002</v>
      </c>
      <c r="AX25" s="3">
        <v>5</v>
      </c>
      <c r="AY25" s="3">
        <v>2425</v>
      </c>
      <c r="AZ25" s="1" t="s">
        <v>61</v>
      </c>
    </row>
    <row r="26" spans="1:52" x14ac:dyDescent="0.35">
      <c r="A26" s="1" t="b">
        <v>0</v>
      </c>
      <c r="B26" s="1">
        <v>5</v>
      </c>
      <c r="C26" s="1" t="s">
        <v>56</v>
      </c>
      <c r="D26" s="1" t="s">
        <v>56</v>
      </c>
      <c r="E26" s="1" t="s">
        <v>54</v>
      </c>
      <c r="F26" s="1">
        <v>0.1</v>
      </c>
      <c r="G26" s="1">
        <v>1</v>
      </c>
      <c r="H26" s="1">
        <v>100</v>
      </c>
      <c r="I26" s="1">
        <v>10</v>
      </c>
      <c r="J26" s="1">
        <v>50000</v>
      </c>
      <c r="K26" s="2">
        <v>9.8400000000000001E-2</v>
      </c>
      <c r="L26" s="2">
        <v>0.1026</v>
      </c>
      <c r="M26" s="2">
        <v>1.1000000000000001E-3</v>
      </c>
      <c r="N26" s="2">
        <v>0.48859999999999998</v>
      </c>
      <c r="O26" s="2">
        <v>0.15310000000000001</v>
      </c>
      <c r="P26" s="2">
        <v>0.1351</v>
      </c>
      <c r="Q26" s="2">
        <v>4.4000000000000003E-3</v>
      </c>
      <c r="R26" s="2">
        <v>1</v>
      </c>
      <c r="S26" s="2">
        <v>6.1600000000000002E-2</v>
      </c>
      <c r="T26" s="2">
        <v>8.9800000000000005E-2</v>
      </c>
      <c r="U26" s="2">
        <v>3.3099999999999997E-2</v>
      </c>
      <c r="V26" s="2">
        <v>0.1162</v>
      </c>
      <c r="W26" s="2">
        <v>0.14879999999999999</v>
      </c>
      <c r="X26" s="2">
        <v>9.9900000000000003E-2</v>
      </c>
      <c r="Y26" s="2">
        <v>0.14349999999999999</v>
      </c>
      <c r="Z26" s="2">
        <v>0.128</v>
      </c>
      <c r="AA26" s="2">
        <v>0.1091</v>
      </c>
      <c r="AB26" s="2">
        <v>9.5899999999999999E-2</v>
      </c>
      <c r="AC26" s="2">
        <v>0.45779999999999998</v>
      </c>
      <c r="AD26" s="2">
        <v>1</v>
      </c>
      <c r="AE26" s="2">
        <v>2.4199999999999999E-2</v>
      </c>
      <c r="AF26" s="2">
        <v>0.54039999999999999</v>
      </c>
      <c r="AG26" s="2">
        <v>0.1452</v>
      </c>
      <c r="AH26" s="2">
        <v>1</v>
      </c>
      <c r="AI26" s="2">
        <v>0.62280000000000002</v>
      </c>
      <c r="AJ26" s="2">
        <v>8.4400000000000003E-2</v>
      </c>
      <c r="AK26" s="2">
        <v>1.0999999999999999E-2</v>
      </c>
      <c r="AL26" s="2">
        <v>1</v>
      </c>
      <c r="AM26" s="2">
        <v>0.1086</v>
      </c>
      <c r="AN26" s="2">
        <v>0.1648</v>
      </c>
      <c r="AO26" s="2">
        <v>2.7900000000000001E-2</v>
      </c>
      <c r="AP26" s="2">
        <v>0.1913</v>
      </c>
      <c r="AQ26" s="2">
        <v>0.14699999999999999</v>
      </c>
      <c r="AR26" s="2">
        <v>0.1817</v>
      </c>
      <c r="AS26" s="2">
        <v>0.23330000000000001</v>
      </c>
      <c r="AT26" s="2">
        <v>0.1017</v>
      </c>
      <c r="AU26" s="2">
        <v>0.02</v>
      </c>
      <c r="AV26" s="2">
        <v>0.17510000000000001</v>
      </c>
      <c r="AW26" s="2">
        <v>18802.136999999999</v>
      </c>
      <c r="AX26" s="3">
        <v>5</v>
      </c>
      <c r="AY26" s="3">
        <v>6516</v>
      </c>
      <c r="AZ26" s="1" t="s">
        <v>62</v>
      </c>
    </row>
    <row r="27" spans="1:52" s="7" customFormat="1" ht="15" x14ac:dyDescent="0.3">
      <c r="K27" s="8">
        <f>AVERAGE(K15:K26)</f>
        <v>8.9766666666666661E-2</v>
      </c>
      <c r="L27" s="8">
        <f t="shared" ref="L27:AY27" si="1">AVERAGE(L15:L26)</f>
        <v>8.8608333333333331E-2</v>
      </c>
      <c r="M27" s="8">
        <f t="shared" si="1"/>
        <v>8.166666666666666E-4</v>
      </c>
      <c r="N27" s="8">
        <f t="shared" si="1"/>
        <v>0.68596666666666672</v>
      </c>
      <c r="O27" s="8">
        <f t="shared" si="1"/>
        <v>0.10959999999999999</v>
      </c>
      <c r="P27" s="8">
        <f t="shared" si="1"/>
        <v>0.14471666666666669</v>
      </c>
      <c r="Q27" s="8">
        <f t="shared" si="1"/>
        <v>2.4500000000000004E-3</v>
      </c>
      <c r="R27" s="8">
        <f t="shared" si="1"/>
        <v>0.95833333333333348</v>
      </c>
      <c r="S27" s="8">
        <f t="shared" si="1"/>
        <v>6.5024999999999999E-2</v>
      </c>
      <c r="T27" s="8">
        <f t="shared" si="1"/>
        <v>9.6700000000000022E-2</v>
      </c>
      <c r="U27" s="8">
        <f t="shared" si="1"/>
        <v>8.1258333333333335E-2</v>
      </c>
      <c r="V27" s="8">
        <f t="shared" si="1"/>
        <v>0.10508333333333335</v>
      </c>
      <c r="W27" s="8">
        <f t="shared" si="1"/>
        <v>8.8283333333333339E-2</v>
      </c>
      <c r="X27" s="8">
        <f t="shared" si="1"/>
        <v>0.10696666666666667</v>
      </c>
      <c r="Y27" s="8">
        <f t="shared" si="1"/>
        <v>8.3225000000000007E-2</v>
      </c>
      <c r="Z27" s="8">
        <f t="shared" si="1"/>
        <v>8.9816666666666656E-2</v>
      </c>
      <c r="AA27" s="8">
        <f t="shared" si="1"/>
        <v>8.6041666666666683E-2</v>
      </c>
      <c r="AB27" s="8">
        <f t="shared" si="1"/>
        <v>8.3725000000000008E-2</v>
      </c>
      <c r="AC27" s="8">
        <f t="shared" si="1"/>
        <v>0.69996666666666663</v>
      </c>
      <c r="AD27" s="8">
        <f t="shared" si="1"/>
        <v>0.63393333333333335</v>
      </c>
      <c r="AE27" s="8">
        <f t="shared" si="1"/>
        <v>0.47271666666666673</v>
      </c>
      <c r="AF27" s="8">
        <f t="shared" si="1"/>
        <v>0.62244999999999995</v>
      </c>
      <c r="AG27" s="8">
        <f t="shared" si="1"/>
        <v>0.70104999999999984</v>
      </c>
      <c r="AH27" s="8">
        <f t="shared" si="1"/>
        <v>0.70893333333333342</v>
      </c>
      <c r="AI27" s="8">
        <f t="shared" si="1"/>
        <v>0.77293333333333336</v>
      </c>
      <c r="AJ27" s="8">
        <f t="shared" si="1"/>
        <v>0.66889999999999994</v>
      </c>
      <c r="AK27" s="8">
        <f t="shared" si="1"/>
        <v>0.75373333333333337</v>
      </c>
      <c r="AL27" s="8">
        <f t="shared" si="1"/>
        <v>0.82509999999999994</v>
      </c>
      <c r="AM27" s="8">
        <f t="shared" si="1"/>
        <v>0.11485833333333334</v>
      </c>
      <c r="AN27" s="8">
        <f t="shared" si="1"/>
        <v>0.15662500000000001</v>
      </c>
      <c r="AO27" s="8">
        <f t="shared" si="1"/>
        <v>0.13075833333333337</v>
      </c>
      <c r="AP27" s="8">
        <f t="shared" si="1"/>
        <v>0.15645000000000001</v>
      </c>
      <c r="AQ27" s="8">
        <f t="shared" si="1"/>
        <v>0.14777500000000002</v>
      </c>
      <c r="AR27" s="8">
        <f t="shared" si="1"/>
        <v>0.17585000000000003</v>
      </c>
      <c r="AS27" s="8">
        <f t="shared" si="1"/>
        <v>0.14275833333333335</v>
      </c>
      <c r="AT27" s="8">
        <f t="shared" si="1"/>
        <v>0.14844166666666667</v>
      </c>
      <c r="AU27" s="8">
        <f t="shared" si="1"/>
        <v>0.13543333333333332</v>
      </c>
      <c r="AV27" s="8">
        <f t="shared" si="1"/>
        <v>0.13836666666666667</v>
      </c>
      <c r="AW27" s="8">
        <f t="shared" si="1"/>
        <v>14143.735666666666</v>
      </c>
      <c r="AX27" s="9">
        <f t="shared" si="1"/>
        <v>3.3333333333333335</v>
      </c>
      <c r="AY27" s="9">
        <f t="shared" si="1"/>
        <v>4602.666666666667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 Nguyen</dc:creator>
  <cp:lastModifiedBy>USER</cp:lastModifiedBy>
  <dcterms:created xsi:type="dcterms:W3CDTF">2025-11-21T08:37:12Z</dcterms:created>
  <dcterms:modified xsi:type="dcterms:W3CDTF">2025-11-21T08:40:06Z</dcterms:modified>
</cp:coreProperties>
</file>